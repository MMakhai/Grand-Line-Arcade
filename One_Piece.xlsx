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İndirilenler\"/>
    </mc:Choice>
  </mc:AlternateContent>
  <xr:revisionPtr revIDLastSave="0" documentId="8_{E643E2AB-7101-4A5E-874D-B1EEDB5372F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Karakterler" sheetId="1" r:id="rId1"/>
    <sheet name="Tabu" sheetId="2" r:id="rId2"/>
  </sheets>
  <definedNames>
    <definedName name="_xlnm._FilterDatabase" localSheetId="0" hidden="1">Karakterler!$A$1:$S$201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01" i="1" l="1"/>
  <c r="S200" i="1"/>
  <c r="S197" i="1"/>
  <c r="S198" i="1"/>
  <c r="S199" i="1"/>
  <c r="S192" i="1"/>
  <c r="S196" i="1"/>
  <c r="S190" i="1"/>
  <c r="S194" i="1"/>
  <c r="S195" i="1"/>
  <c r="S189" i="1"/>
  <c r="S191" i="1"/>
  <c r="S193" i="1"/>
  <c r="S183" i="1"/>
  <c r="S188" i="1"/>
  <c r="S184" i="1"/>
  <c r="S187" i="1"/>
  <c r="S185" i="1"/>
  <c r="S186" i="1"/>
  <c r="S182" i="1"/>
  <c r="S181" i="1"/>
  <c r="S178" i="1"/>
  <c r="S176" i="1"/>
  <c r="S180" i="1"/>
  <c r="S177" i="1"/>
  <c r="S179" i="1"/>
  <c r="S170" i="1"/>
  <c r="S173" i="1"/>
  <c r="S172" i="1"/>
  <c r="S174" i="1"/>
  <c r="S171" i="1"/>
  <c r="S175" i="1"/>
  <c r="S168" i="1"/>
  <c r="S169" i="1"/>
  <c r="S166" i="1"/>
  <c r="S165" i="1"/>
  <c r="S167" i="1"/>
  <c r="S162" i="1"/>
  <c r="S164" i="1"/>
  <c r="S163" i="1"/>
  <c r="S160" i="1"/>
  <c r="S157" i="1"/>
  <c r="S155" i="1"/>
  <c r="S159" i="1"/>
  <c r="S158" i="1"/>
  <c r="S161" i="1"/>
  <c r="S156" i="1"/>
  <c r="S153" i="1"/>
  <c r="S154" i="1"/>
  <c r="S151" i="1"/>
  <c r="S152" i="1"/>
  <c r="S150" i="1"/>
  <c r="S149" i="1"/>
  <c r="S148" i="1"/>
  <c r="S145" i="1"/>
  <c r="S143" i="1"/>
  <c r="S146" i="1"/>
  <c r="S147" i="1"/>
  <c r="S144" i="1"/>
  <c r="S142" i="1"/>
  <c r="S138" i="1"/>
  <c r="S139" i="1"/>
  <c r="S141" i="1"/>
  <c r="S135" i="1"/>
  <c r="S136" i="1"/>
  <c r="S137" i="1"/>
  <c r="S134" i="1"/>
  <c r="S132" i="1"/>
  <c r="S131" i="1"/>
  <c r="S125" i="1"/>
  <c r="S130" i="1"/>
  <c r="S123" i="1"/>
  <c r="S122" i="1"/>
  <c r="S127" i="1"/>
  <c r="S140" i="1"/>
  <c r="S126" i="1"/>
  <c r="S133" i="1"/>
  <c r="S129" i="1"/>
  <c r="S128" i="1"/>
  <c r="S124" i="1"/>
  <c r="S120" i="1"/>
  <c r="S118" i="1"/>
  <c r="S116" i="1"/>
  <c r="S117" i="1"/>
  <c r="S119" i="1"/>
  <c r="S121" i="1"/>
  <c r="S114" i="1"/>
  <c r="S115" i="1"/>
  <c r="S113" i="1"/>
  <c r="S112" i="1"/>
  <c r="S102" i="1"/>
  <c r="S110" i="1"/>
  <c r="S109" i="1"/>
  <c r="S107" i="1"/>
  <c r="S111" i="1"/>
  <c r="S104" i="1"/>
  <c r="S105" i="1"/>
  <c r="S106" i="1"/>
  <c r="S16" i="1"/>
  <c r="S12" i="1"/>
  <c r="S101" i="1"/>
  <c r="S97" i="1"/>
  <c r="S98" i="1"/>
  <c r="S96" i="1"/>
  <c r="S94" i="1"/>
  <c r="S100" i="1"/>
  <c r="S103" i="1"/>
  <c r="S99" i="1"/>
  <c r="S95" i="1"/>
  <c r="S93" i="1"/>
  <c r="S92" i="1"/>
  <c r="S108" i="1"/>
  <c r="S91" i="1"/>
  <c r="S90" i="1"/>
  <c r="S89" i="1"/>
  <c r="S87" i="1"/>
  <c r="S88" i="1"/>
  <c r="S86" i="1"/>
  <c r="S81" i="1"/>
  <c r="S83" i="1"/>
  <c r="S82" i="1"/>
  <c r="S80" i="1"/>
  <c r="S85" i="1"/>
  <c r="S84" i="1"/>
  <c r="S78" i="1"/>
  <c r="S79" i="1"/>
  <c r="S77" i="1"/>
  <c r="S71" i="1"/>
  <c r="S73" i="1"/>
  <c r="S74" i="1"/>
  <c r="S65" i="1"/>
  <c r="S76" i="1"/>
  <c r="S75" i="1"/>
  <c r="S69" i="1"/>
  <c r="S68" i="1"/>
  <c r="S66" i="1"/>
  <c r="S70" i="1"/>
  <c r="S64" i="1"/>
  <c r="S67" i="1"/>
  <c r="S63" i="1"/>
  <c r="S62" i="1"/>
  <c r="S60" i="1"/>
  <c r="S61" i="1"/>
  <c r="S59" i="1"/>
  <c r="S58" i="1"/>
  <c r="S57" i="1"/>
  <c r="S55" i="1"/>
  <c r="S56" i="1"/>
  <c r="S72" i="1"/>
  <c r="S54" i="1"/>
  <c r="S53" i="1"/>
  <c r="S50" i="1"/>
  <c r="S49" i="1"/>
  <c r="S48" i="1"/>
  <c r="S51" i="1"/>
  <c r="S52" i="1"/>
  <c r="S47" i="1"/>
  <c r="S22" i="1"/>
  <c r="S46" i="1"/>
  <c r="S44" i="1"/>
  <c r="S42" i="1"/>
  <c r="S45" i="1"/>
  <c r="S43" i="1"/>
  <c r="S40" i="1"/>
  <c r="S41" i="1"/>
  <c r="S21" i="1"/>
  <c r="S39" i="1"/>
  <c r="S17" i="1"/>
  <c r="S38" i="1"/>
  <c r="S37" i="1"/>
  <c r="S36" i="1"/>
  <c r="S35" i="1"/>
  <c r="S33" i="1"/>
  <c r="S34" i="1"/>
  <c r="S28" i="1"/>
  <c r="S27" i="1"/>
  <c r="S31" i="1"/>
  <c r="S32" i="1"/>
  <c r="S29" i="1"/>
  <c r="S30" i="1"/>
  <c r="S19" i="1"/>
  <c r="S20" i="1"/>
  <c r="S25" i="1"/>
  <c r="S26" i="1"/>
  <c r="S24" i="1"/>
  <c r="S18" i="1"/>
  <c r="S23" i="1"/>
  <c r="S13" i="1"/>
  <c r="S15" i="1"/>
  <c r="S14" i="1"/>
  <c r="S11" i="1"/>
  <c r="S8" i="1"/>
  <c r="S10" i="1"/>
  <c r="S6" i="1"/>
  <c r="S9" i="1"/>
  <c r="S7" i="1"/>
  <c r="S5" i="1"/>
  <c r="S3" i="1"/>
  <c r="S4" i="1"/>
  <c r="S2" i="1"/>
</calcChain>
</file>

<file path=xl/sharedStrings.xml><?xml version="1.0" encoding="utf-8"?>
<sst xmlns="http://schemas.openxmlformats.org/spreadsheetml/2006/main" count="3338" uniqueCount="943">
  <si>
    <t>#</t>
  </si>
  <si>
    <t>Karakter</t>
  </si>
  <si>
    <t>Ödül (Berry)</t>
  </si>
  <si>
    <t>Şeytan Meyvesi Türü</t>
  </si>
  <si>
    <t>Tahmin Edilecek Karakter</t>
  </si>
  <si>
    <t>Haki Türleri</t>
  </si>
  <si>
    <t>Ekip / Grup</t>
  </si>
  <si>
    <t>Yasaklı 1</t>
  </si>
  <si>
    <t>Yasaklı 2</t>
  </si>
  <si>
    <t>Rütbe / Pozisyon</t>
  </si>
  <si>
    <t>Yasaklı 3</t>
  </si>
  <si>
    <t>Durum</t>
  </si>
  <si>
    <t>Yasaklı 4</t>
  </si>
  <si>
    <t>Köken</t>
  </si>
  <si>
    <t>Yasaklı 5</t>
  </si>
  <si>
    <t>Irk</t>
  </si>
  <si>
    <t>Yasaklı 6</t>
  </si>
  <si>
    <t>Race Puanı</t>
  </si>
  <si>
    <t>Yasaklı 7</t>
  </si>
  <si>
    <t>Fiziksel Güç (Haki'siz)</t>
  </si>
  <si>
    <t>Haki</t>
  </si>
  <si>
    <t>Zoan</t>
  </si>
  <si>
    <t>Logia</t>
  </si>
  <si>
    <t>Monkey D. Luffy</t>
  </si>
  <si>
    <t>Paramecia</t>
  </si>
  <si>
    <t>Lastik</t>
  </si>
  <si>
    <t>Tayfa (Kaptanlar)</t>
  </si>
  <si>
    <t>Hasır Şapka</t>
  </si>
  <si>
    <t>Sensei (Manuel)</t>
  </si>
  <si>
    <t>Korsan Kralı</t>
  </si>
  <si>
    <t>Sensei (Final)</t>
  </si>
  <si>
    <t>Kaptan</t>
  </si>
  <si>
    <t>Gear</t>
  </si>
  <si>
    <t>Nika</t>
  </si>
  <si>
    <t>Et</t>
  </si>
  <si>
    <t>Imu</t>
  </si>
  <si>
    <t>?</t>
  </si>
  <si>
    <t>Roronoa Zoro</t>
  </si>
  <si>
    <t>World Government</t>
  </si>
  <si>
    <t>Kılıç</t>
  </si>
  <si>
    <t>Hükümdar</t>
  </si>
  <si>
    <t>Üç Kılıç</t>
  </si>
  <si>
    <t>Hayatta</t>
  </si>
  <si>
    <t>Yeşil Saç</t>
  </si>
  <si>
    <t>Mary Geoise</t>
  </si>
  <si>
    <t>Kaybolmak</t>
  </si>
  <si>
    <t>Şeytan</t>
  </si>
  <si>
    <t>Kılıç Ustası</t>
  </si>
  <si>
    <t>Mihawk</t>
  </si>
  <si>
    <t>Nami</t>
  </si>
  <si>
    <t>Navigatör</t>
  </si>
  <si>
    <t>Turuncu Saç</t>
  </si>
  <si>
    <t>Hırsız</t>
  </si>
  <si>
    <t>Hava Durumu</t>
  </si>
  <si>
    <t>Para</t>
  </si>
  <si>
    <t>Haritacı</t>
  </si>
  <si>
    <t>Usopp</t>
  </si>
  <si>
    <t>Nişancı</t>
  </si>
  <si>
    <t>Yalancı</t>
  </si>
  <si>
    <t>Uzun Burun</t>
  </si>
  <si>
    <t>Sapan</t>
  </si>
  <si>
    <t>Korkak</t>
  </si>
  <si>
    <t>Sogeking</t>
  </si>
  <si>
    <t>Vinsmoke Sanji</t>
  </si>
  <si>
    <t>Aşçı</t>
  </si>
  <si>
    <t>Kara Ayak</t>
  </si>
  <si>
    <t>Sigara</t>
  </si>
  <si>
    <t>Kaido</t>
  </si>
  <si>
    <t>Tekme</t>
  </si>
  <si>
    <t>Sarı Saç</t>
  </si>
  <si>
    <t>Germa</t>
  </si>
  <si>
    <t>Gözlem, Silahlanma, Fatih</t>
  </si>
  <si>
    <t>Beast Pirates</t>
  </si>
  <si>
    <t>Tony Tony Chopper</t>
  </si>
  <si>
    <t>Doktor</t>
  </si>
  <si>
    <t>Ren Geyiği</t>
  </si>
  <si>
    <t>Oni</t>
  </si>
  <si>
    <t>Pamuk Şeker</t>
  </si>
  <si>
    <t>Mavi Burun</t>
  </si>
  <si>
    <t>Rumble Ball</t>
  </si>
  <si>
    <t>Drum</t>
  </si>
  <si>
    <t>Nico Robin</t>
  </si>
  <si>
    <t>Arkeolog</t>
  </si>
  <si>
    <t>Ohara</t>
  </si>
  <si>
    <t>Poneglif</t>
  </si>
  <si>
    <t>Kitap</t>
  </si>
  <si>
    <t>Kollar</t>
  </si>
  <si>
    <t>Çiçek</t>
  </si>
  <si>
    <t>Charlotte Linlin</t>
  </si>
  <si>
    <t>Franky</t>
  </si>
  <si>
    <t>Big Mom Pirates</t>
  </si>
  <si>
    <t>Gemi Yapımcısı</t>
  </si>
  <si>
    <t>Siborg</t>
  </si>
  <si>
    <t>Grand Line</t>
  </si>
  <si>
    <t>Kola</t>
  </si>
  <si>
    <t>Melez</t>
  </si>
  <si>
    <t>Mavi Saç</t>
  </si>
  <si>
    <t>Süper</t>
  </si>
  <si>
    <t>Thousand Sunny</t>
  </si>
  <si>
    <t>Brook</t>
  </si>
  <si>
    <t>İskelet</t>
  </si>
  <si>
    <t>Müzisyen</t>
  </si>
  <si>
    <t>Keman</t>
  </si>
  <si>
    <t>Afro</t>
  </si>
  <si>
    <t>Yohoho</t>
  </si>
  <si>
    <t>Edward Newgate</t>
  </si>
  <si>
    <t>Ölüm</t>
  </si>
  <si>
    <t>Jinbe</t>
  </si>
  <si>
    <t>Whitebeard Pirates</t>
  </si>
  <si>
    <t>Balıkadam</t>
  </si>
  <si>
    <t>Ölü</t>
  </si>
  <si>
    <t>Köpekbalığı</t>
  </si>
  <si>
    <t>İnsan</t>
  </si>
  <si>
    <t>Dümenci</t>
  </si>
  <si>
    <t>Karate</t>
  </si>
  <si>
    <t>Güneş Korsanları</t>
  </si>
  <si>
    <t>Warlord</t>
  </si>
  <si>
    <t>Monkey D. Garp</t>
  </si>
  <si>
    <t>Denizci</t>
  </si>
  <si>
    <t>Efsane</t>
  </si>
  <si>
    <t>Yumruk</t>
  </si>
  <si>
    <t>Büyükbaba</t>
  </si>
  <si>
    <t>Gol D. Roger</t>
  </si>
  <si>
    <t>Kahraman</t>
  </si>
  <si>
    <t>Koby</t>
  </si>
  <si>
    <t>Yok</t>
  </si>
  <si>
    <t>Luffy</t>
  </si>
  <si>
    <t>Roger Pirates</t>
  </si>
  <si>
    <t>Monkey D. Dragon</t>
  </si>
  <si>
    <t>East Blue</t>
  </si>
  <si>
    <t>Devrimci</t>
  </si>
  <si>
    <t>Lider</t>
  </si>
  <si>
    <t>Baba</t>
  </si>
  <si>
    <t>Fırtına</t>
  </si>
  <si>
    <t>Hükümet</t>
  </si>
  <si>
    <t>Sabo</t>
  </si>
  <si>
    <t>Portgas D. Ace</t>
  </si>
  <si>
    <t>Ateş</t>
  </si>
  <si>
    <t>Shanks</t>
  </si>
  <si>
    <t>Alev</t>
  </si>
  <si>
    <t>Kardeş</t>
  </si>
  <si>
    <t>Çil</t>
  </si>
  <si>
    <t>Beyaz Sakal</t>
  </si>
  <si>
    <t>Roger</t>
  </si>
  <si>
    <t>Marineford</t>
  </si>
  <si>
    <t>Red Hair Pirates</t>
  </si>
  <si>
    <t>West Blue</t>
  </si>
  <si>
    <t>Silindir Şapka</t>
  </si>
  <si>
    <t>Mavi Frak</t>
  </si>
  <si>
    <t>Dragon</t>
  </si>
  <si>
    <t>Ace</t>
  </si>
  <si>
    <t>Marines</t>
  </si>
  <si>
    <t>Vice Admiral</t>
  </si>
  <si>
    <t>Laugh Tale</t>
  </si>
  <si>
    <t>Hazine</t>
  </si>
  <si>
    <t>İdam</t>
  </si>
  <si>
    <t>Loguetown</t>
  </si>
  <si>
    <t>Rayleigh</t>
  </si>
  <si>
    <t>Silvers Rayleigh</t>
  </si>
  <si>
    <t>Karanlık Kral</t>
  </si>
  <si>
    <t>Gözlük</t>
  </si>
  <si>
    <t>Yardımcı Kaptan</t>
  </si>
  <si>
    <t>Yardımcı kaptan</t>
  </si>
  <si>
    <t>Sabaody</t>
  </si>
  <si>
    <t>Kızıl Saç</t>
  </si>
  <si>
    <t>Yonko</t>
  </si>
  <si>
    <t>Yara</t>
  </si>
  <si>
    <t>Sengoku</t>
  </si>
  <si>
    <t>Tek Kol</t>
  </si>
  <si>
    <t>Fleet Admiral</t>
  </si>
  <si>
    <t>Benn Beckman</t>
  </si>
  <si>
    <t>Tüfek</t>
  </si>
  <si>
    <t>Kızıl Saçlı</t>
  </si>
  <si>
    <t>Yardımcı</t>
  </si>
  <si>
    <t>Zeki</t>
  </si>
  <si>
    <t>Silah</t>
  </si>
  <si>
    <t>Loki</t>
  </si>
  <si>
    <t>Yasopp</t>
  </si>
  <si>
    <t>Elbaf</t>
  </si>
  <si>
    <t>Prens</t>
  </si>
  <si>
    <t>Dev</t>
  </si>
  <si>
    <t>Atış</t>
  </si>
  <si>
    <t>Lucky Roux</t>
  </si>
  <si>
    <t>Şişman</t>
  </si>
  <si>
    <t>Yemek</t>
  </si>
  <si>
    <t>Kozuki Oden</t>
  </si>
  <si>
    <t>Şanslı</t>
  </si>
  <si>
    <t>Pirzola</t>
  </si>
  <si>
    <t>Mürettebat</t>
  </si>
  <si>
    <t>Wano Country</t>
  </si>
  <si>
    <t>Samuray</t>
  </si>
  <si>
    <t>Makino</t>
  </si>
  <si>
    <t>Wano</t>
  </si>
  <si>
    <t>Meyhane</t>
  </si>
  <si>
    <t>Barmen</t>
  </si>
  <si>
    <t>Fuusha</t>
  </si>
  <si>
    <t>Köy</t>
  </si>
  <si>
    <t>Kadın</t>
  </si>
  <si>
    <t>Rocks D. Xebec</t>
  </si>
  <si>
    <t>Çocukluk</t>
  </si>
  <si>
    <t>Rocks Pirates</t>
  </si>
  <si>
    <t>Dadan</t>
  </si>
  <si>
    <t>Haydut</t>
  </si>
  <si>
    <t>Dağ</t>
  </si>
  <si>
    <t>Bakıcı</t>
  </si>
  <si>
    <t>Sakazuki</t>
  </si>
  <si>
    <t>Pembe Saç</t>
  </si>
  <si>
    <t>Garp</t>
  </si>
  <si>
    <t>Alvida</t>
  </si>
  <si>
    <t>Rocky Port</t>
  </si>
  <si>
    <t>King</t>
  </si>
  <si>
    <t>Helmeppo</t>
  </si>
  <si>
    <t>Gözlem, Silahlanma</t>
  </si>
  <si>
    <t>Tobi Roppo</t>
  </si>
  <si>
    <t>Lunaria</t>
  </si>
  <si>
    <t>Morgan</t>
  </si>
  <si>
    <t>Lunarian</t>
  </si>
  <si>
    <t>Şımarık</t>
  </si>
  <si>
    <t>Buggy</t>
  </si>
  <si>
    <t>Yamato</t>
  </si>
  <si>
    <t>Palyaço</t>
  </si>
  <si>
    <t>Kırmızı Burun</t>
  </si>
  <si>
    <t>Parçalanma</t>
  </si>
  <si>
    <t>—</t>
  </si>
  <si>
    <t>Bıçak</t>
  </si>
  <si>
    <t>Cross Guild</t>
  </si>
  <si>
    <t>Dracule Mihawk</t>
  </si>
  <si>
    <t>Şahin Gözü</t>
  </si>
  <si>
    <t>En Büyük Kılıç Ustası</t>
  </si>
  <si>
    <t>Zoro</t>
  </si>
  <si>
    <t>Kara Kılıç</t>
  </si>
  <si>
    <t>Straw Hat Pirates</t>
  </si>
  <si>
    <t>Edward Newgate (Whitebeard)</t>
  </si>
  <si>
    <t>Deprem</t>
  </si>
  <si>
    <t>Naginata</t>
  </si>
  <si>
    <t>Oğul</t>
  </si>
  <si>
    <t>Marco</t>
  </si>
  <si>
    <t>Dorry</t>
  </si>
  <si>
    <t>Giant Warrior Pirates</t>
  </si>
  <si>
    <t>Ejderha</t>
  </si>
  <si>
    <t>Hayvan Korsanları</t>
  </si>
  <si>
    <t>Ölümsüz</t>
  </si>
  <si>
    <t>Gürz</t>
  </si>
  <si>
    <t>Charlotte Linlin (Big Mom)</t>
  </si>
  <si>
    <t>Brogy</t>
  </si>
  <si>
    <t>Şeker</t>
  </si>
  <si>
    <t>Whole Cake</t>
  </si>
  <si>
    <t>Tatlı</t>
  </si>
  <si>
    <t>Çocuk</t>
  </si>
  <si>
    <t>Katakuri</t>
  </si>
  <si>
    <t>Ruh</t>
  </si>
  <si>
    <t>Marshall D. Teach (Blackbeard)</t>
  </si>
  <si>
    <t>Boa Hancock</t>
  </si>
  <si>
    <t>Karanlık</t>
  </si>
  <si>
    <t>Thatch</t>
  </si>
  <si>
    <t>Kuja Pirates</t>
  </si>
  <si>
    <t>Çift Güç</t>
  </si>
  <si>
    <t>Amazon Lily</t>
  </si>
  <si>
    <t>Hain</t>
  </si>
  <si>
    <t>Titan</t>
  </si>
  <si>
    <t>Anka Kuşu</t>
  </si>
  <si>
    <t>Bartholomew Kuma</t>
  </si>
  <si>
    <t>Mavi Alev</t>
  </si>
  <si>
    <t>İyileşmek</t>
  </si>
  <si>
    <t>Revolutionary Army</t>
  </si>
  <si>
    <t>Komutan</t>
  </si>
  <si>
    <t>Sorbet Krallığı</t>
  </si>
  <si>
    <t>Buccaneer</t>
  </si>
  <si>
    <t>Ananas</t>
  </si>
  <si>
    <t>Uçmak</t>
  </si>
  <si>
    <t>Jozu</t>
  </si>
  <si>
    <t>Elmas</t>
  </si>
  <si>
    <t>Saint Jaygarcia Saturn</t>
  </si>
  <si>
    <t>Sert</t>
  </si>
  <si>
    <t>Beş Yaşlı Üyesi</t>
  </si>
  <si>
    <t>Ağır</t>
  </si>
  <si>
    <t>Güçlü</t>
  </si>
  <si>
    <t>Vista</t>
  </si>
  <si>
    <t>Bıyık</t>
  </si>
  <si>
    <t>Gülen</t>
  </si>
  <si>
    <t>Şapka</t>
  </si>
  <si>
    <t>Izo</t>
  </si>
  <si>
    <t>Marcus Mars</t>
  </si>
  <si>
    <t>Tabanca</t>
  </si>
  <si>
    <t>Kimono</t>
  </si>
  <si>
    <t>Kara Sakal</t>
  </si>
  <si>
    <t>Topman Warcury</t>
  </si>
  <si>
    <t>İhanet</t>
  </si>
  <si>
    <t>Squard</t>
  </si>
  <si>
    <t>Shepherd Ju Peter</t>
  </si>
  <si>
    <t>Pişman</t>
  </si>
  <si>
    <t>Akainu</t>
  </si>
  <si>
    <t>Savaş</t>
  </si>
  <si>
    <t>Jesus Burgess</t>
  </si>
  <si>
    <t>Şampiyon</t>
  </si>
  <si>
    <t>Charlotte Katakuri</t>
  </si>
  <si>
    <t>Vücut</t>
  </si>
  <si>
    <t>Tatlı Komutan</t>
  </si>
  <si>
    <t>Shiryu</t>
  </si>
  <si>
    <t>Whole Cake Adası</t>
  </si>
  <si>
    <t>Yağmur</t>
  </si>
  <si>
    <t>Impel Down</t>
  </si>
  <si>
    <t>Katil</t>
  </si>
  <si>
    <t>Mahkum</t>
  </si>
  <si>
    <t>Ryuma</t>
  </si>
  <si>
    <t>Independent</t>
  </si>
  <si>
    <t>Van Augur</t>
  </si>
  <si>
    <t>Işınlanma</t>
  </si>
  <si>
    <t>Borsalino</t>
  </si>
  <si>
    <t>Sessiz</t>
  </si>
  <si>
    <t>Admiral</t>
  </si>
  <si>
    <t>Laffitte</t>
  </si>
  <si>
    <t>Eski Polis</t>
  </si>
  <si>
    <t>Kanat</t>
  </si>
  <si>
    <t>Catarina Devon</t>
  </si>
  <si>
    <t>Taklit</t>
  </si>
  <si>
    <t>Yüz</t>
  </si>
  <si>
    <t>Yılan</t>
  </si>
  <si>
    <t>Avalo Pizarro</t>
  </si>
  <si>
    <t>Eustass Kid</t>
  </si>
  <si>
    <t>Büyük</t>
  </si>
  <si>
    <t>Güç</t>
  </si>
  <si>
    <t>Kid Pirates</t>
  </si>
  <si>
    <t>Adam</t>
  </si>
  <si>
    <t>South Blue</t>
  </si>
  <si>
    <t>Vasco Shot</t>
  </si>
  <si>
    <t>İçki</t>
  </si>
  <si>
    <t>Sarhoş</t>
  </si>
  <si>
    <t>Marshall D. Teach</t>
  </si>
  <si>
    <t>Şişe</t>
  </si>
  <si>
    <t>Logia, Paramecia</t>
  </si>
  <si>
    <t>Silahlanma</t>
  </si>
  <si>
    <t>Blackbeard Pirates</t>
  </si>
  <si>
    <t>Sanjuan Wolf</t>
  </si>
  <si>
    <t>Gemi</t>
  </si>
  <si>
    <t>Kuzan</t>
  </si>
  <si>
    <t>Doc Q</t>
  </si>
  <si>
    <t>Hasta</t>
  </si>
  <si>
    <t>At</t>
  </si>
  <si>
    <t>Öksürük</t>
  </si>
  <si>
    <t>Mochi</t>
  </si>
  <si>
    <t>Big Mom</t>
  </si>
  <si>
    <t>Gelecek</t>
  </si>
  <si>
    <t>Eşarp</t>
  </si>
  <si>
    <t>Charlotte Smoothie</t>
  </si>
  <si>
    <t>Sıkmak</t>
  </si>
  <si>
    <t>Queen</t>
  </si>
  <si>
    <t>Uzun</t>
  </si>
  <si>
    <t>İçecek</t>
  </si>
  <si>
    <t>Charlotte Cracker</t>
  </si>
  <si>
    <t>Bisküvi</t>
  </si>
  <si>
    <t>Zırh</t>
  </si>
  <si>
    <t>Kalkan</t>
  </si>
  <si>
    <t>Kurabiye</t>
  </si>
  <si>
    <t>Former</t>
  </si>
  <si>
    <t>Charlotte Perospero</t>
  </si>
  <si>
    <t>Dil</t>
  </si>
  <si>
    <t>Lolipop</t>
  </si>
  <si>
    <t>Figarland Garling</t>
  </si>
  <si>
    <t>Charlotte Pudding</t>
  </si>
  <si>
    <t>Üç Göz</t>
  </si>
  <si>
    <t>Hafıza</t>
  </si>
  <si>
    <t>Sanji</t>
  </si>
  <si>
    <t>Evlilik</t>
  </si>
  <si>
    <t>Charlotte Brûlée</t>
  </si>
  <si>
    <t>Ayna</t>
  </si>
  <si>
    <t>Bakan</t>
  </si>
  <si>
    <t>Yansıma</t>
  </si>
  <si>
    <t>Canavar</t>
  </si>
  <si>
    <t>Dünya</t>
  </si>
  <si>
    <t>Charlotte Daifuku</t>
  </si>
  <si>
    <t>Jack</t>
  </si>
  <si>
    <t>Ordu</t>
  </si>
  <si>
    <t>Balık Adam</t>
  </si>
  <si>
    <t>Felaket</t>
  </si>
  <si>
    <t>Ethanbaron V. Nusjuro</t>
  </si>
  <si>
    <t>Dinozor</t>
  </si>
  <si>
    <t>Veba</t>
  </si>
  <si>
    <t>Bilim</t>
  </si>
  <si>
    <t>Trafalgar D. Water Law</t>
  </si>
  <si>
    <t>Dans</t>
  </si>
  <si>
    <t>Heart Pirates</t>
  </si>
  <si>
    <t>North Blue</t>
  </si>
  <si>
    <t>Kuraklık</t>
  </si>
  <si>
    <t>Mamut</t>
  </si>
  <si>
    <t>Fil</t>
  </si>
  <si>
    <t>Zou</t>
  </si>
  <si>
    <t>Tank</t>
  </si>
  <si>
    <t>Page One</t>
  </si>
  <si>
    <t>Spinosaurus</t>
  </si>
  <si>
    <t>Ulti</t>
  </si>
  <si>
    <t>Kafa Tası</t>
  </si>
  <si>
    <t>Silahlanma, Gözlem, Fatih</t>
  </si>
  <si>
    <t>2. Birlik Komutanı</t>
  </si>
  <si>
    <t>Kafa Vuruşu</t>
  </si>
  <si>
    <t>Black Maria</t>
  </si>
  <si>
    <t>Örümcek</t>
  </si>
  <si>
    <t>Jorogumo</t>
  </si>
  <si>
    <t>Gece Kulübü</t>
  </si>
  <si>
    <t>Issho</t>
  </si>
  <si>
    <t>Oden</t>
  </si>
  <si>
    <t>Boynuz</t>
  </si>
  <si>
    <t>Mıknatıs</t>
  </si>
  <si>
    <t>Metal</t>
  </si>
  <si>
    <t>Kötü Nesil</t>
  </si>
  <si>
    <t>Rob Lucci</t>
  </si>
  <si>
    <t>Kırmızı Saç</t>
  </si>
  <si>
    <t>Killer</t>
  </si>
  <si>
    <t>Demir Kol</t>
  </si>
  <si>
    <t>CP0</t>
  </si>
  <si>
    <t>Ajan</t>
  </si>
  <si>
    <t>Maske</t>
  </si>
  <si>
    <t>Kid</t>
  </si>
  <si>
    <t>Kasap</t>
  </si>
  <si>
    <t>Donquixote Doflamingo</t>
  </si>
  <si>
    <t>Donquixote Pirates</t>
  </si>
  <si>
    <t>Cerrah</t>
  </si>
  <si>
    <t>Oda</t>
  </si>
  <si>
    <t>Kalp</t>
  </si>
  <si>
    <t>Denizaltı</t>
  </si>
  <si>
    <t>Corazon</t>
  </si>
  <si>
    <t>Bepo</t>
  </si>
  <si>
    <t>Ayı</t>
  </si>
  <si>
    <t>Ryokugyu</t>
  </si>
  <si>
    <t>Mink</t>
  </si>
  <si>
    <t>Tulum</t>
  </si>
  <si>
    <t>Kalp Korsanları</t>
  </si>
  <si>
    <t>Law</t>
  </si>
  <si>
    <t>Penguin</t>
  </si>
  <si>
    <t>Kutup</t>
  </si>
  <si>
    <t>Soğuk</t>
  </si>
  <si>
    <t>Shachi</t>
  </si>
  <si>
    <t>Orka</t>
  </si>
  <si>
    <t>3. Birlik Komutanı</t>
  </si>
  <si>
    <t>X Drake</t>
  </si>
  <si>
    <t>SWORD</t>
  </si>
  <si>
    <t>Casus</t>
  </si>
  <si>
    <t>X</t>
  </si>
  <si>
    <t>Basil Hawkins</t>
  </si>
  <si>
    <t>Falcı</t>
  </si>
  <si>
    <t>Tarot</t>
  </si>
  <si>
    <t>Saman</t>
  </si>
  <si>
    <t>Crocodile</t>
  </si>
  <si>
    <t>Kâhin</t>
  </si>
  <si>
    <t>Kehanet</t>
  </si>
  <si>
    <t>Bebek</t>
  </si>
  <si>
    <t>Scratchmen Apoo</t>
  </si>
  <si>
    <t>Davul</t>
  </si>
  <si>
    <t>Ses</t>
  </si>
  <si>
    <t>Radyo</t>
  </si>
  <si>
    <t>Ayak</t>
  </si>
  <si>
    <t>Jewelry Bonney</t>
  </si>
  <si>
    <t>Yaşlanma</t>
  </si>
  <si>
    <t>Emporio Ivankov</t>
  </si>
  <si>
    <t>Kuma</t>
  </si>
  <si>
    <t>Obur</t>
  </si>
  <si>
    <t>Zaman</t>
  </si>
  <si>
    <t>Kamabakka Krallığı</t>
  </si>
  <si>
    <t>Urouge</t>
  </si>
  <si>
    <t>Keşiş</t>
  </si>
  <si>
    <t>Rahip</t>
  </si>
  <si>
    <t>Kas</t>
  </si>
  <si>
    <t>Dövüşçü</t>
  </si>
  <si>
    <t>Zehir</t>
  </si>
  <si>
    <t>Zephyr</t>
  </si>
  <si>
    <t>Capone Bege</t>
  </si>
  <si>
    <t>Kale</t>
  </si>
  <si>
    <t>Mafya</t>
  </si>
  <si>
    <t>Gangster</t>
  </si>
  <si>
    <t>Küçülmek</t>
  </si>
  <si>
    <t>Aile</t>
  </si>
  <si>
    <t>Bartolomeo</t>
  </si>
  <si>
    <t>Hayran</t>
  </si>
  <si>
    <t>Bariyer</t>
  </si>
  <si>
    <t>Halı</t>
  </si>
  <si>
    <t>Barto Club</t>
  </si>
  <si>
    <t>Fisher Tiger</t>
  </si>
  <si>
    <t>Ağlamak</t>
  </si>
  <si>
    <t>Sun Pirates</t>
  </si>
  <si>
    <t>Cavendish</t>
  </si>
  <si>
    <t>Beyaz At</t>
  </si>
  <si>
    <t>Balıkadam Adası</t>
  </si>
  <si>
    <t>Güzel</t>
  </si>
  <si>
    <t>Narsist</t>
  </si>
  <si>
    <t>Çift Kişilik</t>
  </si>
  <si>
    <t>Sakazuki (Akainu)</t>
  </si>
  <si>
    <t>Büyük Amiral</t>
  </si>
  <si>
    <t>Lav</t>
  </si>
  <si>
    <t>Magma</t>
  </si>
  <si>
    <t>Mutlak Adalet</t>
  </si>
  <si>
    <t>Vergo</t>
  </si>
  <si>
    <t>Rear Admiral</t>
  </si>
  <si>
    <t>Kuzan (Aokiji)</t>
  </si>
  <si>
    <t>Buz</t>
  </si>
  <si>
    <t>Amiral</t>
  </si>
  <si>
    <t>Bisiklet</t>
  </si>
  <si>
    <t>Uyku Maskesi</t>
  </si>
  <si>
    <t>Robin</t>
  </si>
  <si>
    <t>Nekomamushi</t>
  </si>
  <si>
    <t>Borsalino (Kizaru)</t>
  </si>
  <si>
    <t>Işık</t>
  </si>
  <si>
    <t>Mink Tribe</t>
  </si>
  <si>
    <t>Gece Hükümdarı</t>
  </si>
  <si>
    <t>Sarı</t>
  </si>
  <si>
    <t>Hızlı</t>
  </si>
  <si>
    <t>Lazer</t>
  </si>
  <si>
    <t>Tembel</t>
  </si>
  <si>
    <t>Issho (Fujitora)</t>
  </si>
  <si>
    <t>Kör</t>
  </si>
  <si>
    <t>Inuarashi</t>
  </si>
  <si>
    <t>Yerçekimi</t>
  </si>
  <si>
    <t>Meteor</t>
  </si>
  <si>
    <t>Gündüz Hükümdarı</t>
  </si>
  <si>
    <t>Baston</t>
  </si>
  <si>
    <t>Dressrosa</t>
  </si>
  <si>
    <t>Ryokugyu (Aramaki)</t>
  </si>
  <si>
    <t>Orman</t>
  </si>
  <si>
    <t>Yeşil</t>
  </si>
  <si>
    <t>Smoker</t>
  </si>
  <si>
    <t>Bitki</t>
  </si>
  <si>
    <t>Ağaç</t>
  </si>
  <si>
    <t>Buda</t>
  </si>
  <si>
    <t>Danışman</t>
  </si>
  <si>
    <t>Altın</t>
  </si>
  <si>
    <t>Tsuru</t>
  </si>
  <si>
    <t>Koramiral</t>
  </si>
  <si>
    <t>Yıkama</t>
  </si>
  <si>
    <t>5. Birlik Komutanı</t>
  </si>
  <si>
    <t>Çamaşır</t>
  </si>
  <si>
    <t>Duman</t>
  </si>
  <si>
    <t>Beyaz Avcı</t>
  </si>
  <si>
    <t>Puro</t>
  </si>
  <si>
    <t>Tashigi</t>
  </si>
  <si>
    <t>Kuina</t>
  </si>
  <si>
    <t>Yüzbaşı</t>
  </si>
  <si>
    <t>Hina</t>
  </si>
  <si>
    <t>Kafes</t>
  </si>
  <si>
    <t>Hapis</t>
  </si>
  <si>
    <t>Demir</t>
  </si>
  <si>
    <t>Bilezik</t>
  </si>
  <si>
    <t>Momonga</t>
  </si>
  <si>
    <t>Komuta</t>
  </si>
  <si>
    <t>Rütbe</t>
  </si>
  <si>
    <t>Pica</t>
  </si>
  <si>
    <t>Bambu</t>
  </si>
  <si>
    <t>Doflamingo</t>
  </si>
  <si>
    <t>Punk Hazard</t>
  </si>
  <si>
    <t>Sentomaru</t>
  </si>
  <si>
    <t>Gecko Moria</t>
  </si>
  <si>
    <t>Pacifista</t>
  </si>
  <si>
    <t>Balta</t>
  </si>
  <si>
    <t>Thriller Bark Pirates</t>
  </si>
  <si>
    <t>Vegapunk</t>
  </si>
  <si>
    <t>Muhafız</t>
  </si>
  <si>
    <t>Bastille</t>
  </si>
  <si>
    <t>Subay</t>
  </si>
  <si>
    <t>Savaşçı</t>
  </si>
  <si>
    <t>Üniforma</t>
  </si>
  <si>
    <t>Enel</t>
  </si>
  <si>
    <t>Gözlem</t>
  </si>
  <si>
    <t>Skypiea</t>
  </si>
  <si>
    <t>Tanrı</t>
  </si>
  <si>
    <t>Z</t>
  </si>
  <si>
    <t>Gökyüzü Halkı</t>
  </si>
  <si>
    <t>Eski Amiral</t>
  </si>
  <si>
    <t>Film</t>
  </si>
  <si>
    <t>İntikam</t>
  </si>
  <si>
    <t>Kol</t>
  </si>
  <si>
    <t>Kum</t>
  </si>
  <si>
    <t>Çengel</t>
  </si>
  <si>
    <t>Baroque Works</t>
  </si>
  <si>
    <t>Alabasta</t>
  </si>
  <si>
    <t>Gölge</t>
  </si>
  <si>
    <t>Zombi</t>
  </si>
  <si>
    <t>Thriller Bark</t>
  </si>
  <si>
    <t>Ceset</t>
  </si>
  <si>
    <t>Pembe</t>
  </si>
  <si>
    <t>Tüy</t>
  </si>
  <si>
    <t>İp</t>
  </si>
  <si>
    <t>Joker</t>
  </si>
  <si>
    <t>Taş</t>
  </si>
  <si>
    <t>İmparatoriçe</t>
  </si>
  <si>
    <t>Kuja</t>
  </si>
  <si>
    <t>Aşk</t>
  </si>
  <si>
    <t>Boa Marigold</t>
  </si>
  <si>
    <t>Kız Kardeş</t>
  </si>
  <si>
    <t>Hancock</t>
  </si>
  <si>
    <t>Sandersonia</t>
  </si>
  <si>
    <t>Boa Sandersonia</t>
  </si>
  <si>
    <t>Marigold</t>
  </si>
  <si>
    <t>Pati</t>
  </si>
  <si>
    <t>İtme</t>
  </si>
  <si>
    <t>Drag</t>
  </si>
  <si>
    <t>Kamabakka</t>
  </si>
  <si>
    <t>Hormon</t>
  </si>
  <si>
    <t>Dönüşüm</t>
  </si>
  <si>
    <t>Bon Clay (Mr. 2)</t>
  </si>
  <si>
    <t>Balerin</t>
  </si>
  <si>
    <t>Pedro</t>
  </si>
  <si>
    <t>Dostluk</t>
  </si>
  <si>
    <t>Daz Bones (Mr. 1)</t>
  </si>
  <si>
    <t>Çelik</t>
  </si>
  <si>
    <t>Suikastçı</t>
  </si>
  <si>
    <t>Magellan</t>
  </si>
  <si>
    <t>Müdür</t>
  </si>
  <si>
    <t>Hapishane</t>
  </si>
  <si>
    <t>İshal</t>
  </si>
  <si>
    <t>Tuvalet</t>
  </si>
  <si>
    <t>Gardiyan</t>
  </si>
  <si>
    <t>Hannyabal</t>
  </si>
  <si>
    <t>Müdür Yardımcısı</t>
  </si>
  <si>
    <t>Sadi</t>
  </si>
  <si>
    <t>Kamçı</t>
  </si>
  <si>
    <t>Sadist</t>
  </si>
  <si>
    <t>Galdino (Mr. 3)</t>
  </si>
  <si>
    <t>Fallen Monk Pirates</t>
  </si>
  <si>
    <t>Balmumu</t>
  </si>
  <si>
    <t>Mum</t>
  </si>
  <si>
    <t>Heykel</t>
  </si>
  <si>
    <t>Sanat</t>
  </si>
  <si>
    <t>Miss Doublefinger</t>
  </si>
  <si>
    <t>Diken</t>
  </si>
  <si>
    <t>İğne</t>
  </si>
  <si>
    <t>Kaku</t>
  </si>
  <si>
    <t>Mr. 1</t>
  </si>
  <si>
    <t>Hançer</t>
  </si>
  <si>
    <t>Leopar</t>
  </si>
  <si>
    <t>CP9</t>
  </si>
  <si>
    <t>Güvercin</t>
  </si>
  <si>
    <t>Hattori</t>
  </si>
  <si>
    <t>Enies Lobby</t>
  </si>
  <si>
    <t>Rokushiki</t>
  </si>
  <si>
    <t>Zürafa</t>
  </si>
  <si>
    <t>Denjiro</t>
  </si>
  <si>
    <t>Marangoz</t>
  </si>
  <si>
    <t>Galley-La</t>
  </si>
  <si>
    <t>Nine Red Scabbards</t>
  </si>
  <si>
    <t>Kalifa</t>
  </si>
  <si>
    <t>Sabun</t>
  </si>
  <si>
    <t>Sekreter</t>
  </si>
  <si>
    <t>Köpük</t>
  </si>
  <si>
    <t>Blueno</t>
  </si>
  <si>
    <t>Kapı</t>
  </si>
  <si>
    <t>Neptune</t>
  </si>
  <si>
    <t>Ryugu Kingdom</t>
  </si>
  <si>
    <t>Bar</t>
  </si>
  <si>
    <t>Kral</t>
  </si>
  <si>
    <t>Boğa</t>
  </si>
  <si>
    <t>Jabra</t>
  </si>
  <si>
    <t>Kurt</t>
  </si>
  <si>
    <t>Tırnak</t>
  </si>
  <si>
    <t>Fukurou</t>
  </si>
  <si>
    <t>Fermuar</t>
  </si>
  <si>
    <t>Ağız</t>
  </si>
  <si>
    <t>Saçma</t>
  </si>
  <si>
    <t>Kuş</t>
  </si>
  <si>
    <t>Kumadori</t>
  </si>
  <si>
    <t>Kabuki</t>
  </si>
  <si>
    <t>4. Birlik Komutanı</t>
  </si>
  <si>
    <t>Saç</t>
  </si>
  <si>
    <t>Boyalı Yüz</t>
  </si>
  <si>
    <t>Spandam</t>
  </si>
  <si>
    <t>Şef</t>
  </si>
  <si>
    <t>Çekiç</t>
  </si>
  <si>
    <t>Gaddar</t>
  </si>
  <si>
    <t>Beş Yaşlı</t>
  </si>
  <si>
    <t>Savaş Tanrısı</t>
  </si>
  <si>
    <t>Dünya Hükümeti</t>
  </si>
  <si>
    <t>Egghead</t>
  </si>
  <si>
    <t>Yaşlı</t>
  </si>
  <si>
    <t>Kutsal</t>
  </si>
  <si>
    <t>Konsey</t>
  </si>
  <si>
    <t>16. Birlik Komutanı</t>
  </si>
  <si>
    <t>Sakallı</t>
  </si>
  <si>
    <t>Meclis</t>
  </si>
  <si>
    <t>Boş Yüzyıl</t>
  </si>
  <si>
    <t>Gizemli</t>
  </si>
  <si>
    <t>Taht</t>
  </si>
  <si>
    <t>Diamante</t>
  </si>
  <si>
    <t>Kutsal Şövalye</t>
  </si>
  <si>
    <t>God Valley</t>
  </si>
  <si>
    <t>Güzellik</t>
  </si>
  <si>
    <t>Kaygan</t>
  </si>
  <si>
    <t>Korsan</t>
  </si>
  <si>
    <t>Axe-Hand Morgan</t>
  </si>
  <si>
    <t>Çene</t>
  </si>
  <si>
    <t>Shells Town</t>
  </si>
  <si>
    <t>Diktatör</t>
  </si>
  <si>
    <t>Kyros</t>
  </si>
  <si>
    <t>Kuro</t>
  </si>
  <si>
    <t>Kara Kedi</t>
  </si>
  <si>
    <t>Pençe</t>
  </si>
  <si>
    <t>Uşak</t>
  </si>
  <si>
    <t>Syrup</t>
  </si>
  <si>
    <t>Kaya</t>
  </si>
  <si>
    <t>Don Krieg</t>
  </si>
  <si>
    <t>Baratie</t>
  </si>
  <si>
    <t>Gin</t>
  </si>
  <si>
    <t>Krieg</t>
  </si>
  <si>
    <t>Kozuki Momonosuke</t>
  </si>
  <si>
    <t>Sadık</t>
  </si>
  <si>
    <t>Tonfa</t>
  </si>
  <si>
    <t>Shogun</t>
  </si>
  <si>
    <t>Arlong</t>
  </si>
  <si>
    <t>Testere</t>
  </si>
  <si>
    <t>Cocoyasi</t>
  </si>
  <si>
    <t>Burun</t>
  </si>
  <si>
    <t>Esir</t>
  </si>
  <si>
    <t>Kuroobi</t>
  </si>
  <si>
    <t>Vatoz</t>
  </si>
  <si>
    <t>Su</t>
  </si>
  <si>
    <t>Hatchan</t>
  </si>
  <si>
    <t>Ahtapot</t>
  </si>
  <si>
    <t>Takoyaki</t>
  </si>
  <si>
    <t>Altı Kol</t>
  </si>
  <si>
    <t>Bellemere</t>
  </si>
  <si>
    <t>Nojiko</t>
  </si>
  <si>
    <t>Mandalina</t>
  </si>
  <si>
    <t>Dövme</t>
  </si>
  <si>
    <t>Genzo</t>
  </si>
  <si>
    <t>Polis</t>
  </si>
  <si>
    <t>Değirmen</t>
  </si>
  <si>
    <t>Zeff</t>
  </si>
  <si>
    <t>Ahşap Bacak</t>
  </si>
  <si>
    <t>Restoran</t>
  </si>
  <si>
    <t>Kırmızı Bacak</t>
  </si>
  <si>
    <t>Zengin</t>
  </si>
  <si>
    <t>Konak</t>
  </si>
  <si>
    <t>Dojo</t>
  </si>
  <si>
    <t>Rakip</t>
  </si>
  <si>
    <t>Wado</t>
  </si>
  <si>
    <t>Nefertari Vivi</t>
  </si>
  <si>
    <t>Prenses</t>
  </si>
  <si>
    <t>Ördek</t>
  </si>
  <si>
    <t>Cobra</t>
  </si>
  <si>
    <t>Çöl</t>
  </si>
  <si>
    <t>Pekoms</t>
  </si>
  <si>
    <t>Nefertari Cobra</t>
  </si>
  <si>
    <t>Vivi</t>
  </si>
  <si>
    <t>Pell</t>
  </si>
  <si>
    <t>Şahin</t>
  </si>
  <si>
    <t>Fedakar</t>
  </si>
  <si>
    <t>Patlama</t>
  </si>
  <si>
    <t>Bomba</t>
  </si>
  <si>
    <t>Chaka</t>
  </si>
  <si>
    <t>Çakal</t>
  </si>
  <si>
    <t>Kraliyet</t>
  </si>
  <si>
    <t>Karoo</t>
  </si>
  <si>
    <t>Koşmak</t>
  </si>
  <si>
    <t>Hayvan</t>
  </si>
  <si>
    <t>Sakar</t>
  </si>
  <si>
    <t>Şimşek</t>
  </si>
  <si>
    <t>Gökyüzü</t>
  </si>
  <si>
    <t>Daz Bones</t>
  </si>
  <si>
    <t>Elektrik</t>
  </si>
  <si>
    <t>Ay</t>
  </si>
  <si>
    <t>Wyper</t>
  </si>
  <si>
    <t>Shandia</t>
  </si>
  <si>
    <t>Üye</t>
  </si>
  <si>
    <t>Bazuka</t>
  </si>
  <si>
    <t>Kabile</t>
  </si>
  <si>
    <t>Gan Fall</t>
  </si>
  <si>
    <t>Eski Tanrı</t>
  </si>
  <si>
    <t>Mızrak</t>
  </si>
  <si>
    <t>Pierre</t>
  </si>
  <si>
    <t>Vinsmoke Judge</t>
  </si>
  <si>
    <t>Germa 66</t>
  </si>
  <si>
    <t>Conis</t>
  </si>
  <si>
    <t>Kız</t>
  </si>
  <si>
    <t>Melek</t>
  </si>
  <si>
    <t>Pagaya</t>
  </si>
  <si>
    <t>Iceburg</t>
  </si>
  <si>
    <t>Başkan</t>
  </si>
  <si>
    <t>Water 7</t>
  </si>
  <si>
    <t>Tersane</t>
  </si>
  <si>
    <t>Belediye</t>
  </si>
  <si>
    <t>Paulie</t>
  </si>
  <si>
    <t>Kokoro</t>
  </si>
  <si>
    <t>Deniz Treni</t>
  </si>
  <si>
    <t>Chimney</t>
  </si>
  <si>
    <t>Gonbe</t>
  </si>
  <si>
    <t>Halat</t>
  </si>
  <si>
    <t>Tom</t>
  </si>
  <si>
    <t>Oro Jackson</t>
  </si>
  <si>
    <t>Absalom</t>
  </si>
  <si>
    <t>Görünmez</t>
  </si>
  <si>
    <t>Moria</t>
  </si>
  <si>
    <t>Perona</t>
  </si>
  <si>
    <t>Hayalet</t>
  </si>
  <si>
    <t>Negatif</t>
  </si>
  <si>
    <t>Mutsuzluk</t>
  </si>
  <si>
    <t>Dr. Hogback</t>
  </si>
  <si>
    <t>Cerebro</t>
  </si>
  <si>
    <t>Dikiş</t>
  </si>
  <si>
    <t>Shusui</t>
  </si>
  <si>
    <t>Laboon</t>
  </si>
  <si>
    <t>Balina</t>
  </si>
  <si>
    <t>Reverse Mountain</t>
  </si>
  <si>
    <t>Crocus</t>
  </si>
  <si>
    <t>Kırmızı Çizgi</t>
  </si>
  <si>
    <t>Duvar</t>
  </si>
  <si>
    <t>Müzik</t>
  </si>
  <si>
    <t>Vinsmoke Ichiji</t>
  </si>
  <si>
    <t>Fener</t>
  </si>
  <si>
    <t>Fenerci</t>
  </si>
  <si>
    <t>Shirahoshi</t>
  </si>
  <si>
    <t>Deniz</t>
  </si>
  <si>
    <t>Ryugu</t>
  </si>
  <si>
    <t>Vinsmoke Niji</t>
  </si>
  <si>
    <t>Denizkızı</t>
  </si>
  <si>
    <t>Poseidon</t>
  </si>
  <si>
    <t>Ağlak</t>
  </si>
  <si>
    <t>Hody Jones</t>
  </si>
  <si>
    <t>Nefret</t>
  </si>
  <si>
    <t>İsyan</t>
  </si>
  <si>
    <t>Steroid</t>
  </si>
  <si>
    <t>Yeni Balıkadam</t>
  </si>
  <si>
    <t>Fukaboshi</t>
  </si>
  <si>
    <t>Vinsmoke Yonji</t>
  </si>
  <si>
    <t>Köle</t>
  </si>
  <si>
    <t>Kurtarıcı</t>
  </si>
  <si>
    <t>Vander Decken IX</t>
  </si>
  <si>
    <t>Hayalet Gemi</t>
  </si>
  <si>
    <t>Uçan Hollandalı</t>
  </si>
  <si>
    <t>Vinsmoke Reiju</t>
  </si>
  <si>
    <t>Aşık</t>
  </si>
  <si>
    <t>Otohime</t>
  </si>
  <si>
    <t>Kraliçe</t>
  </si>
  <si>
    <t>Hayal</t>
  </si>
  <si>
    <t>Barış</t>
  </si>
  <si>
    <t>Rebecca</t>
  </si>
  <si>
    <t>Gladyatör</t>
  </si>
  <si>
    <t>Colosseum</t>
  </si>
  <si>
    <t>Viola</t>
  </si>
  <si>
    <t>Oyuncak</t>
  </si>
  <si>
    <t>Tek Bacak</t>
  </si>
  <si>
    <t>Asker</t>
  </si>
  <si>
    <t>Göz</t>
  </si>
  <si>
    <t>Teyze</t>
  </si>
  <si>
    <t>Leo</t>
  </si>
  <si>
    <t>Tontatta</t>
  </si>
  <si>
    <t>Cüce</t>
  </si>
  <si>
    <t>Orlumbus</t>
  </si>
  <si>
    <t>Cesur</t>
  </si>
  <si>
    <t>Pelerin</t>
  </si>
  <si>
    <t>Yaprak</t>
  </si>
  <si>
    <t>Trebol</t>
  </si>
  <si>
    <t>Yapışkan</t>
  </si>
  <si>
    <t>Sümük</t>
  </si>
  <si>
    <t>Donquixote</t>
  </si>
  <si>
    <t>Baby 5</t>
  </si>
  <si>
    <t>Hizmetçi</t>
  </si>
  <si>
    <t>Evlenmek</t>
  </si>
  <si>
    <t>Buffalo</t>
  </si>
  <si>
    <t>Beautiful Pirates</t>
  </si>
  <si>
    <t>Pervane</t>
  </si>
  <si>
    <t>Baş Dönmesi</t>
  </si>
  <si>
    <t>Dellinger</t>
  </si>
  <si>
    <t>Yarı Balıkadam</t>
  </si>
  <si>
    <t>Sugar</t>
  </si>
  <si>
    <t>Señor Pink</t>
  </si>
  <si>
    <t>Emzik</t>
  </si>
  <si>
    <t>Arlong Pirates</t>
  </si>
  <si>
    <t>Önlük</t>
  </si>
  <si>
    <t>Garip</t>
  </si>
  <si>
    <t>Kostüm</t>
  </si>
  <si>
    <t>Bellamy</t>
  </si>
  <si>
    <t>Hiena</t>
  </si>
  <si>
    <t>Zıplama</t>
  </si>
  <si>
    <t>Yay</t>
  </si>
  <si>
    <t>Jaya</t>
  </si>
  <si>
    <t>Donquixote Rosinante</t>
  </si>
  <si>
    <t>Sessizlik</t>
  </si>
  <si>
    <t>Carrot</t>
  </si>
  <si>
    <t>Dev Hayvan</t>
  </si>
  <si>
    <t>Tavşan</t>
  </si>
  <si>
    <t>Sulong</t>
  </si>
  <si>
    <t>Bonney Pirates</t>
  </si>
  <si>
    <t>Aslan</t>
  </si>
  <si>
    <t>Dost</t>
  </si>
  <si>
    <t>Kedi</t>
  </si>
  <si>
    <t>Gece</t>
  </si>
  <si>
    <t>Köpek</t>
  </si>
  <si>
    <t>Gündüz</t>
  </si>
  <si>
    <t>Wanda</t>
  </si>
  <si>
    <t>Kuja Savaşçısı</t>
  </si>
  <si>
    <t>Reiju</t>
  </si>
  <si>
    <t>Judge</t>
  </si>
  <si>
    <t>Süper Güç</t>
  </si>
  <si>
    <t>Daimyo</t>
  </si>
  <si>
    <t>İki Kılıç</t>
  </si>
  <si>
    <t>Kazan</t>
  </si>
  <si>
    <t>Hyogoro</t>
  </si>
  <si>
    <t>Akazaya</t>
  </si>
  <si>
    <t>Şogun</t>
  </si>
  <si>
    <t>Kin'emon</t>
  </si>
  <si>
    <t>Tilki</t>
  </si>
  <si>
    <t>Kikunojo</t>
  </si>
  <si>
    <t>Orochi</t>
  </si>
  <si>
    <t>Raizo</t>
  </si>
  <si>
    <t>Ninja</t>
  </si>
  <si>
    <t>Sis</t>
  </si>
  <si>
    <t>New Fish-Man Pirates</t>
  </si>
  <si>
    <t>Gizli</t>
  </si>
  <si>
    <t>Kawamatsu</t>
  </si>
  <si>
    <t>Kappa</t>
  </si>
  <si>
    <t>Balık</t>
  </si>
  <si>
    <t>Kyoshiro</t>
  </si>
  <si>
    <t>Kurozumi Orochi</t>
  </si>
  <si>
    <t>Sekiz Kafa</t>
  </si>
  <si>
    <t>Tama</t>
  </si>
  <si>
    <t>Dango</t>
  </si>
  <si>
    <t>Yetim</t>
  </si>
  <si>
    <t>Yakuza</t>
  </si>
  <si>
    <t>Reis</t>
  </si>
  <si>
    <t>Shinobu</t>
  </si>
  <si>
    <t>Kunoichi</t>
  </si>
  <si>
    <t>Ragnar</t>
  </si>
  <si>
    <t>Fire Tank Pirates</t>
  </si>
  <si>
    <t>Hajrudin</t>
  </si>
  <si>
    <t>Yıldırım</t>
  </si>
  <si>
    <t>Gözleri Bağlı</t>
  </si>
  <si>
    <t>Kozuki Hiyori</t>
  </si>
  <si>
    <t>Gelin</t>
  </si>
  <si>
    <t>Hawkins Pirates</t>
  </si>
  <si>
    <t>Dahi</t>
  </si>
  <si>
    <t>Little Garden</t>
  </si>
  <si>
    <t>Bon Clay</t>
  </si>
  <si>
    <t>Düello</t>
  </si>
  <si>
    <t>On Air Pirates</t>
  </si>
  <si>
    <t>Tom's Workers</t>
  </si>
  <si>
    <t>İşçi</t>
  </si>
  <si>
    <t>Krieg Pirates</t>
  </si>
  <si>
    <t>Alabasta Kingdom</t>
  </si>
  <si>
    <t>Koruma</t>
  </si>
  <si>
    <t>Dadan Family</t>
  </si>
  <si>
    <t>Galley-La Company</t>
  </si>
  <si>
    <t>Black Cat Pirates</t>
  </si>
  <si>
    <t>Flying Dutchman Pirates</t>
  </si>
  <si>
    <t>Galdino</t>
  </si>
  <si>
    <t>Bilim Adamı</t>
  </si>
  <si>
    <t>Alvida Pirates</t>
  </si>
  <si>
    <t>Tontatta Tribe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</si>
</sst>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1"/>
      <color theme="1"/>
      <name val="Calibri"/>
      <scheme val="minor"/>
    </font>
    <font>
      <b/>
      <sz val="11"/>
      <color theme="1"/>
      <name val="Calibri"/>
      <family val="2"/>
      <charset val="162"/>
    </font>
    <font>
      <b/>
      <sz val="11"/>
      <color theme="1"/>
      <name val="Arial"/>
      <family val="2"/>
      <charset val="162"/>
    </font>
    <font>
      <b/>
      <sz val="10"/>
      <color theme="1"/>
      <name val="Arial"/>
      <family val="2"/>
      <charset val="162"/>
    </font>
    <font>
      <sz val="11"/>
      <color theme="1"/>
      <name val="Arial"/>
      <family val="2"/>
      <charset val="162"/>
    </font>
    <font>
      <b/>
      <sz val="11"/>
      <color theme="1"/>
      <name val="Arial"/>
      <family val="2"/>
      <charset val="162"/>
    </font>
    <font>
      <sz val="11"/>
      <color rgb="FFC00000"/>
      <name val="Arial"/>
      <family val="2"/>
      <charset val="162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</font>
    <font>
      <sz val="10"/>
      <color rgb="FF0000FF"/>
      <name val="Arial"/>
      <family val="2"/>
      <charset val="162"/>
    </font>
    <font>
      <sz val="10"/>
      <color theme="1"/>
      <name val="Arial"/>
      <family val="2"/>
      <charset val="162"/>
    </font>
  </fonts>
  <fills count="3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right" vertical="center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9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2" borderId="0" xfId="0" applyFont="1" applyFill="1" applyAlignment="1">
      <alignment horizontal="center" vertical="center" wrapText="1"/>
    </xf>
    <xf numFmtId="0" fontId="8" fillId="0" borderId="0" xfId="0" applyFont="1" applyBorder="1" applyAlignment="1">
      <alignment horizontal="center" vertical="center" wrapText="1"/>
    </xf>
  </cellXfs>
  <cellStyles count="1">
    <cellStyle name="Normal" xfId="0" builtinId="0"/>
  </cellStyles>
  <dxfs count="8"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2">
    <tableStyle name="Karakterler-style" pivot="0" count="4" xr9:uid="{00000000-0011-0000-FFFF-FFFF00000000}">
      <tableStyleElement type="wholeTable" size="0" dxfId="4"/>
      <tableStyleElement type="headerRow" dxfId="7"/>
      <tableStyleElement type="firstRowStripe" dxfId="6"/>
      <tableStyleElement type="secondRowStripe" dxfId="5"/>
    </tableStyle>
    <tableStyle name="Tabu-style" pivot="0" count="4" xr9:uid="{00000000-0011-0000-FFFF-FFFF01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" displayName="Tablo1" ref="A1:S201">
  <autoFilter ref="A1:S201" xr:uid="{00000000-0009-0000-0100-000002000000}"/>
  <sortState xmlns:xlrd2="http://schemas.microsoft.com/office/spreadsheetml/2017/richdata2" ref="A2:S201">
    <sortCondition descending="1" ref="S1:S201"/>
  </sortState>
  <tableColumns count="19">
    <tableColumn id="1" xr3:uid="{00000000-0010-0000-0000-000001000000}" name="#"/>
    <tableColumn id="2" xr3:uid="{00000000-0010-0000-0000-000002000000}" name="Karakter"/>
    <tableColumn id="3" xr3:uid="{00000000-0010-0000-0000-000003000000}" name="Ödül (Berry)"/>
    <tableColumn id="4" xr3:uid="{00000000-0010-0000-0000-000004000000}" name="Şeytan Meyvesi Türü"/>
    <tableColumn id="5" xr3:uid="{00000000-0010-0000-0000-000005000000}" name="Haki Türleri"/>
    <tableColumn id="6" xr3:uid="{00000000-0010-0000-0000-000006000000}" name="Ekip / Grup"/>
    <tableColumn id="7" xr3:uid="{00000000-0010-0000-0000-000007000000}" name="Rütbe / Pozisyon"/>
    <tableColumn id="8" xr3:uid="{00000000-0010-0000-0000-000008000000}" name="Durum"/>
    <tableColumn id="9" xr3:uid="{00000000-0010-0000-0000-000009000000}" name="Köken"/>
    <tableColumn id="10" xr3:uid="{00000000-0010-0000-0000-00000A000000}" name="Irk"/>
    <tableColumn id="11" xr3:uid="{00000000-0010-0000-0000-00000B000000}" name="Race Puanı"/>
    <tableColumn id="12" xr3:uid="{00000000-0010-0000-0000-00000C000000}" name="Fiziksel Güç (Haki'siz)"/>
    <tableColumn id="13" xr3:uid="{00000000-0010-0000-0000-00000D000000}" name="Haki"/>
    <tableColumn id="14" xr3:uid="{00000000-0010-0000-0000-00000E000000}" name="Zoan"/>
    <tableColumn id="15" xr3:uid="{00000000-0010-0000-0000-00000F000000}" name="Logia"/>
    <tableColumn id="16" xr3:uid="{00000000-0010-0000-0000-000010000000}" name="Paramecia"/>
    <tableColumn id="17" xr3:uid="{00000000-0010-0000-0000-000011000000}" name="Tayfa (Kaptanlar)"/>
    <tableColumn id="18" xr3:uid="{00000000-0010-0000-0000-000012000000}" name="Sensei (Manuel)"/>
    <tableColumn id="19" xr3:uid="{00000000-0010-0000-0000-000013000000}" name="Sensei (Final)"/>
  </tableColumns>
  <tableStyleInfo name="Karakterler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2" displayName="Tablo2" ref="A1:I201">
  <tableColumns count="9">
    <tableColumn id="1" xr3:uid="{00000000-0010-0000-0100-000001000000}" name="#"/>
    <tableColumn id="2" xr3:uid="{00000000-0010-0000-0100-000002000000}" name="Tahmin Edilecek Karakter"/>
    <tableColumn id="3" xr3:uid="{00000000-0010-0000-0100-000003000000}" name="Yasaklı 1"/>
    <tableColumn id="4" xr3:uid="{00000000-0010-0000-0100-000004000000}" name="Yasaklı 2"/>
    <tableColumn id="5" xr3:uid="{00000000-0010-0000-0100-000005000000}" name="Yasaklı 3"/>
    <tableColumn id="6" xr3:uid="{00000000-0010-0000-0100-000006000000}" name="Yasaklı 4"/>
    <tableColumn id="7" xr3:uid="{00000000-0010-0000-0100-000007000000}" name="Yasaklı 5"/>
    <tableColumn id="8" xr3:uid="{00000000-0010-0000-0100-000008000000}" name="Yasaklı 6"/>
    <tableColumn id="9" xr3:uid="{00000000-0010-0000-0100-000009000000}" name="Yasaklı 7"/>
  </tableColumns>
  <tableStyleInfo name="Tabu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999"/>
  <sheetViews>
    <sheetView tabSelected="1" topLeftCell="A174" workbookViewId="0">
      <pane xSplit="2" topLeftCell="G1" activePane="topRight" state="frozen"/>
      <selection pane="topRight" activeCell="I184" sqref="I184"/>
    </sheetView>
  </sheetViews>
  <sheetFormatPr defaultColWidth="14.42578125" defaultRowHeight="15" customHeight="1" x14ac:dyDescent="0.25"/>
  <cols>
    <col min="1" max="1" width="5" customWidth="1"/>
    <col min="2" max="2" width="30" customWidth="1"/>
    <col min="3" max="3" width="15" customWidth="1"/>
    <col min="4" max="4" width="45" customWidth="1"/>
    <col min="5" max="5" width="25" customWidth="1"/>
    <col min="6" max="6" width="40" customWidth="1"/>
    <col min="7" max="7" width="25" customWidth="1"/>
    <col min="8" max="8" width="10" customWidth="1"/>
    <col min="9" max="9" width="30" customWidth="1"/>
    <col min="10" max="10" width="24" customWidth="1"/>
    <col min="11" max="11" width="11" customWidth="1"/>
    <col min="12" max="12" width="14" customWidth="1"/>
    <col min="13" max="13" width="13.7109375" customWidth="1"/>
    <col min="14" max="15" width="13" customWidth="1"/>
    <col min="16" max="16" width="11" customWidth="1"/>
    <col min="17" max="17" width="12" customWidth="1"/>
    <col min="18" max="19" width="13" customWidth="1"/>
    <col min="20" max="24" width="8.7109375" customWidth="1"/>
  </cols>
  <sheetData>
    <row r="1" spans="1:24" ht="22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9</v>
      </c>
      <c r="H1" s="1" t="s">
        <v>11</v>
      </c>
      <c r="I1" s="1" t="s">
        <v>13</v>
      </c>
      <c r="J1" s="3" t="s">
        <v>15</v>
      </c>
      <c r="K1" s="3" t="s">
        <v>17</v>
      </c>
      <c r="L1" s="3" t="s">
        <v>19</v>
      </c>
      <c r="M1" s="3" t="s">
        <v>20</v>
      </c>
      <c r="N1" s="3" t="s">
        <v>21</v>
      </c>
      <c r="O1" s="3" t="s">
        <v>22</v>
      </c>
      <c r="P1" s="3" t="s">
        <v>24</v>
      </c>
      <c r="Q1" s="3" t="s">
        <v>26</v>
      </c>
      <c r="R1" s="3" t="s">
        <v>28</v>
      </c>
      <c r="S1" s="3" t="s">
        <v>30</v>
      </c>
      <c r="T1" s="7"/>
      <c r="U1" s="7"/>
      <c r="V1" s="7"/>
      <c r="W1" s="7"/>
      <c r="X1" s="7"/>
    </row>
    <row r="2" spans="1:24" ht="22.5" customHeight="1" x14ac:dyDescent="0.25">
      <c r="A2" s="8">
        <v>117</v>
      </c>
      <c r="B2" s="8" t="s">
        <v>35</v>
      </c>
      <c r="C2" s="8" t="s">
        <v>36</v>
      </c>
      <c r="D2" s="8" t="s">
        <v>36</v>
      </c>
      <c r="E2" s="8" t="s">
        <v>36</v>
      </c>
      <c r="F2" s="8" t="s">
        <v>38</v>
      </c>
      <c r="G2" s="8" t="s">
        <v>40</v>
      </c>
      <c r="H2" s="8" t="s">
        <v>42</v>
      </c>
      <c r="I2" s="8" t="s">
        <v>44</v>
      </c>
      <c r="J2" s="9" t="s">
        <v>46</v>
      </c>
      <c r="K2" s="10">
        <v>20</v>
      </c>
      <c r="L2" s="9">
        <v>20</v>
      </c>
      <c r="M2" s="9">
        <v>20</v>
      </c>
      <c r="N2" s="9"/>
      <c r="O2" s="9"/>
      <c r="P2" s="9"/>
      <c r="Q2" s="9"/>
      <c r="R2" s="9"/>
      <c r="S2" s="11">
        <f>IF(R2&lt;&gt;"",R2,ROUND((L2+M2+K2+IF(COUNT(N2:P2)&gt;0,AVERAGE(N2:P2),0))/(3+IF(COUNT(N2:P2)&gt;0,1,0)),1))</f>
        <v>20</v>
      </c>
      <c r="T2" s="7"/>
      <c r="U2" s="7"/>
      <c r="V2" s="7"/>
      <c r="W2" s="7"/>
      <c r="X2" s="7"/>
    </row>
    <row r="3" spans="1:24" ht="22.5" customHeight="1" x14ac:dyDescent="0.25">
      <c r="A3" s="8">
        <v>29</v>
      </c>
      <c r="B3" s="8" t="s">
        <v>88</v>
      </c>
      <c r="C3" s="15">
        <v>4388000000</v>
      </c>
      <c r="D3" s="8" t="s">
        <v>24</v>
      </c>
      <c r="E3" s="8" t="s">
        <v>71</v>
      </c>
      <c r="F3" s="13" t="s">
        <v>90</v>
      </c>
      <c r="G3" s="8" t="s">
        <v>31</v>
      </c>
      <c r="H3" s="8" t="s">
        <v>36</v>
      </c>
      <c r="I3" s="8" t="s">
        <v>93</v>
      </c>
      <c r="J3" s="9" t="s">
        <v>95</v>
      </c>
      <c r="K3" s="10">
        <v>14</v>
      </c>
      <c r="L3" s="9">
        <v>19</v>
      </c>
      <c r="M3" s="9">
        <v>19</v>
      </c>
      <c r="N3" s="9"/>
      <c r="O3" s="9"/>
      <c r="P3" s="9">
        <v>18</v>
      </c>
      <c r="Q3" s="9">
        <v>16</v>
      </c>
      <c r="R3" s="9">
        <v>19</v>
      </c>
      <c r="S3" s="11">
        <f>IF(R3&lt;&gt;"",R3,ROUND((L3+M3+K3+IF(COUNT(N3:P3)&gt;0,AVERAGE(N3:P3),0))/(3+IF(COUNT(N3:P3)&gt;0,1,0)),1))</f>
        <v>19</v>
      </c>
      <c r="T3" s="7"/>
      <c r="U3" s="7"/>
      <c r="V3" s="7"/>
      <c r="W3" s="7"/>
      <c r="X3" s="7"/>
    </row>
    <row r="4" spans="1:24" ht="22.5" customHeight="1" x14ac:dyDescent="0.25">
      <c r="A4" s="8">
        <v>28</v>
      </c>
      <c r="B4" s="8" t="s">
        <v>67</v>
      </c>
      <c r="C4" s="12">
        <v>4611100000</v>
      </c>
      <c r="D4" s="8" t="s">
        <v>21</v>
      </c>
      <c r="E4" s="8" t="s">
        <v>71</v>
      </c>
      <c r="F4" s="8" t="s">
        <v>72</v>
      </c>
      <c r="G4" s="8" t="s">
        <v>31</v>
      </c>
      <c r="H4" s="8" t="s">
        <v>42</v>
      </c>
      <c r="I4" s="8" t="s">
        <v>36</v>
      </c>
      <c r="J4" s="9" t="s">
        <v>76</v>
      </c>
      <c r="K4" s="10">
        <v>14</v>
      </c>
      <c r="L4" s="9">
        <v>19</v>
      </c>
      <c r="M4" s="9">
        <v>19</v>
      </c>
      <c r="N4" s="9">
        <v>19</v>
      </c>
      <c r="O4" s="9"/>
      <c r="P4" s="9"/>
      <c r="Q4" s="9">
        <v>16</v>
      </c>
      <c r="R4" s="9">
        <v>19</v>
      </c>
      <c r="S4" s="11">
        <f>IF(R4&lt;&gt;"",R4,ROUND((L4+M4+K4+IF(COUNT(N4:P4)&gt;0,AVERAGE(N4:P4),0))/(3+IF(COUNT(N4:P4)&gt;0,1,0)),1))</f>
        <v>19</v>
      </c>
      <c r="T4" s="7"/>
      <c r="U4" s="7"/>
      <c r="V4" s="7"/>
      <c r="W4" s="7"/>
      <c r="X4" s="7"/>
    </row>
    <row r="5" spans="1:24" ht="22.5" customHeight="1" x14ac:dyDescent="0.25">
      <c r="A5" s="8">
        <v>27</v>
      </c>
      <c r="B5" s="8" t="s">
        <v>105</v>
      </c>
      <c r="C5" s="15">
        <v>5046000000</v>
      </c>
      <c r="D5" s="8" t="s">
        <v>24</v>
      </c>
      <c r="E5" s="8" t="s">
        <v>71</v>
      </c>
      <c r="F5" s="13" t="s">
        <v>108</v>
      </c>
      <c r="G5" s="8" t="s">
        <v>31</v>
      </c>
      <c r="H5" s="8" t="s">
        <v>110</v>
      </c>
      <c r="I5" s="8" t="s">
        <v>36</v>
      </c>
      <c r="J5" s="9" t="s">
        <v>112</v>
      </c>
      <c r="K5" s="10">
        <v>10</v>
      </c>
      <c r="L5" s="9">
        <v>18</v>
      </c>
      <c r="M5" s="9">
        <v>19</v>
      </c>
      <c r="N5" s="9"/>
      <c r="O5" s="9"/>
      <c r="P5" s="9">
        <v>20</v>
      </c>
      <c r="Q5" s="9">
        <v>18</v>
      </c>
      <c r="R5" s="9">
        <v>19</v>
      </c>
      <c r="S5" s="11">
        <f>IF(R5&lt;&gt;"",R5,ROUND((L5+M5+K5+IF(COUNT(N5:P5)&gt;0,AVERAGE(N5:P5),0))/(3+IF(COUNT(N5:P5)&gt;0,1,0)),1))</f>
        <v>19</v>
      </c>
      <c r="T5" s="7"/>
      <c r="U5" s="7"/>
      <c r="V5" s="7"/>
      <c r="W5" s="7"/>
      <c r="X5" s="7"/>
    </row>
    <row r="6" spans="1:24" ht="22.5" customHeight="1" x14ac:dyDescent="0.25">
      <c r="A6" s="8">
        <v>11</v>
      </c>
      <c r="B6" s="8" t="s">
        <v>117</v>
      </c>
      <c r="C6" s="8">
        <v>3000000000</v>
      </c>
      <c r="D6" s="8" t="s">
        <v>125</v>
      </c>
      <c r="E6" s="8" t="s">
        <v>71</v>
      </c>
      <c r="F6" s="8" t="s">
        <v>151</v>
      </c>
      <c r="G6" s="8" t="s">
        <v>152</v>
      </c>
      <c r="H6" s="8" t="s">
        <v>42</v>
      </c>
      <c r="I6" s="8" t="s">
        <v>129</v>
      </c>
      <c r="J6" s="9" t="s">
        <v>112</v>
      </c>
      <c r="K6" s="10">
        <v>10</v>
      </c>
      <c r="L6" s="9">
        <v>18</v>
      </c>
      <c r="M6" s="9">
        <v>18</v>
      </c>
      <c r="N6" s="9"/>
      <c r="O6" s="9"/>
      <c r="P6" s="9"/>
      <c r="Q6" s="9"/>
      <c r="R6" s="9">
        <v>19</v>
      </c>
      <c r="S6" s="11">
        <f>IF(R6&lt;&gt;"",R6,ROUND((L6+M6+K6+IF(COUNT(N6:P6)&gt;0,AVERAGE(N6:P6),0))/(3+IF(COUNT(N6:P6)&gt;0,1,0)),1))</f>
        <v>19</v>
      </c>
      <c r="T6" s="7"/>
      <c r="U6" s="7"/>
      <c r="V6" s="7"/>
      <c r="W6" s="7"/>
      <c r="X6" s="7"/>
    </row>
    <row r="7" spans="1:24" ht="22.5" customHeight="1" x14ac:dyDescent="0.25">
      <c r="A7" s="8">
        <v>15</v>
      </c>
      <c r="B7" s="8" t="s">
        <v>122</v>
      </c>
      <c r="C7" s="8">
        <v>5564800000</v>
      </c>
      <c r="D7" s="8" t="s">
        <v>125</v>
      </c>
      <c r="E7" s="8" t="s">
        <v>71</v>
      </c>
      <c r="F7" s="8" t="s">
        <v>127</v>
      </c>
      <c r="G7" s="8" t="s">
        <v>31</v>
      </c>
      <c r="H7" s="8" t="s">
        <v>110</v>
      </c>
      <c r="I7" s="8" t="s">
        <v>129</v>
      </c>
      <c r="J7" s="9" t="s">
        <v>112</v>
      </c>
      <c r="K7" s="10">
        <v>10</v>
      </c>
      <c r="L7" s="9">
        <v>17</v>
      </c>
      <c r="M7" s="9">
        <v>20</v>
      </c>
      <c r="N7" s="9"/>
      <c r="O7" s="9"/>
      <c r="P7" s="9"/>
      <c r="Q7" s="9">
        <v>20</v>
      </c>
      <c r="R7" s="9">
        <v>19</v>
      </c>
      <c r="S7" s="11">
        <f>IF(R7&lt;&gt;"",R7,ROUND((L7+M7+K7+IF(COUNT(N7:P7)&gt;0,AVERAGE(N7:P7),0))/(3+IF(COUNT(N7:P7)&gt;0,1,0)),1))</f>
        <v>19</v>
      </c>
      <c r="T7" s="7"/>
      <c r="U7" s="7"/>
      <c r="V7" s="7"/>
      <c r="W7" s="7"/>
      <c r="X7" s="7"/>
    </row>
    <row r="8" spans="1:24" ht="22.5" customHeight="1" x14ac:dyDescent="0.25">
      <c r="A8" s="8">
        <v>79</v>
      </c>
      <c r="B8" s="8" t="s">
        <v>167</v>
      </c>
      <c r="C8" s="8">
        <v>3000000000</v>
      </c>
      <c r="D8" s="8" t="s">
        <v>21</v>
      </c>
      <c r="E8" s="8" t="s">
        <v>71</v>
      </c>
      <c r="F8" s="8" t="s">
        <v>151</v>
      </c>
      <c r="G8" s="8" t="s">
        <v>169</v>
      </c>
      <c r="H8" s="8" t="s">
        <v>42</v>
      </c>
      <c r="I8" s="8" t="s">
        <v>36</v>
      </c>
      <c r="J8" s="9" t="s">
        <v>112</v>
      </c>
      <c r="K8" s="10">
        <v>10</v>
      </c>
      <c r="L8" s="9">
        <v>17</v>
      </c>
      <c r="M8" s="9">
        <v>16</v>
      </c>
      <c r="N8" s="9">
        <v>18</v>
      </c>
      <c r="O8" s="9"/>
      <c r="P8" s="9"/>
      <c r="Q8" s="9"/>
      <c r="R8" s="9">
        <v>19</v>
      </c>
      <c r="S8" s="11">
        <f>IF(R8&lt;&gt;"",R8,ROUND((L8+M8+K8+IF(COUNT(N8:P8)&gt;0,AVERAGE(N8:P8),0))/(3+IF(COUNT(N8:P8)&gt;0,1,0)),1))</f>
        <v>19</v>
      </c>
      <c r="T8" s="7"/>
      <c r="U8" s="7"/>
      <c r="V8" s="7"/>
      <c r="W8" s="7"/>
      <c r="X8" s="7"/>
    </row>
    <row r="9" spans="1:24" ht="22.5" customHeight="1" x14ac:dyDescent="0.25">
      <c r="A9" s="8">
        <v>17</v>
      </c>
      <c r="B9" s="8" t="s">
        <v>138</v>
      </c>
      <c r="C9" s="14">
        <v>4048900000</v>
      </c>
      <c r="D9" s="8" t="s">
        <v>125</v>
      </c>
      <c r="E9" s="8" t="s">
        <v>71</v>
      </c>
      <c r="F9" s="13" t="s">
        <v>145</v>
      </c>
      <c r="G9" s="8" t="s">
        <v>31</v>
      </c>
      <c r="H9" s="8" t="s">
        <v>42</v>
      </c>
      <c r="I9" s="8" t="s">
        <v>146</v>
      </c>
      <c r="J9" s="9" t="s">
        <v>112</v>
      </c>
      <c r="K9" s="10">
        <v>10</v>
      </c>
      <c r="L9" s="9">
        <v>17</v>
      </c>
      <c r="M9" s="9">
        <v>20</v>
      </c>
      <c r="N9" s="9"/>
      <c r="O9" s="9"/>
      <c r="P9" s="9"/>
      <c r="Q9" s="9">
        <v>19</v>
      </c>
      <c r="R9" s="9">
        <v>19</v>
      </c>
      <c r="S9" s="11">
        <f>IF(R9&lt;&gt;"",R9,ROUND((L9+M9+K9+IF(COUNT(N9:P9)&gt;0,AVERAGE(N9:P9),0))/(3+IF(COUNT(N9:P9)&gt;0,1,0)),1))</f>
        <v>19</v>
      </c>
      <c r="T9" s="7"/>
      <c r="U9" s="7"/>
      <c r="V9" s="7"/>
      <c r="W9" s="7"/>
      <c r="X9" s="7"/>
    </row>
    <row r="10" spans="1:24" ht="22.5" customHeight="1" x14ac:dyDescent="0.25">
      <c r="A10" s="8">
        <v>16</v>
      </c>
      <c r="B10" s="8" t="s">
        <v>158</v>
      </c>
      <c r="C10" s="8" t="s">
        <v>36</v>
      </c>
      <c r="D10" s="8" t="s">
        <v>125</v>
      </c>
      <c r="E10" s="8" t="s">
        <v>71</v>
      </c>
      <c r="F10" s="8" t="s">
        <v>127</v>
      </c>
      <c r="G10" s="8" t="s">
        <v>162</v>
      </c>
      <c r="H10" s="8" t="s">
        <v>42</v>
      </c>
      <c r="I10" s="8" t="s">
        <v>36</v>
      </c>
      <c r="J10" s="9" t="s">
        <v>112</v>
      </c>
      <c r="K10" s="10">
        <v>10</v>
      </c>
      <c r="L10" s="9">
        <v>17</v>
      </c>
      <c r="M10" s="9">
        <v>19</v>
      </c>
      <c r="N10" s="9"/>
      <c r="O10" s="9"/>
      <c r="P10" s="9"/>
      <c r="Q10" s="9">
        <v>20</v>
      </c>
      <c r="R10" s="9">
        <v>19</v>
      </c>
      <c r="S10" s="11">
        <f>IF(R10&lt;&gt;"",R10,ROUND((L10+M10+K10+IF(COUNT(N10:P10)&gt;0,AVERAGE(N10:P10),0))/(3+IF(COUNT(N10:P10)&gt;0,1,0)),1))</f>
        <v>19</v>
      </c>
      <c r="T10" s="7"/>
      <c r="U10" s="7"/>
      <c r="V10" s="7"/>
      <c r="W10" s="7"/>
      <c r="X10" s="7"/>
    </row>
    <row r="11" spans="1:24" ht="22.5" customHeight="1" x14ac:dyDescent="0.25">
      <c r="A11" s="8">
        <v>196</v>
      </c>
      <c r="B11" s="8" t="s">
        <v>176</v>
      </c>
      <c r="C11" s="8">
        <v>2600000000</v>
      </c>
      <c r="D11" s="8" t="s">
        <v>21</v>
      </c>
      <c r="E11" s="8" t="s">
        <v>71</v>
      </c>
      <c r="F11" s="8" t="s">
        <v>178</v>
      </c>
      <c r="G11" s="8" t="s">
        <v>179</v>
      </c>
      <c r="H11" s="8" t="s">
        <v>42</v>
      </c>
      <c r="I11" s="8" t="s">
        <v>178</v>
      </c>
      <c r="J11" s="9" t="s">
        <v>180</v>
      </c>
      <c r="K11" s="10">
        <v>18</v>
      </c>
      <c r="L11" s="9">
        <v>20</v>
      </c>
      <c r="M11" s="9">
        <v>18</v>
      </c>
      <c r="N11" s="9"/>
      <c r="O11" s="9"/>
      <c r="P11" s="9"/>
      <c r="Q11" s="9"/>
      <c r="R11" s="9"/>
      <c r="S11" s="11">
        <f>IF(R11&lt;&gt;"",R11,ROUND((L11+M11+K11+IF(COUNT(N11:P11)&gt;0,AVERAGE(N11:P11),0))/(3+IF(COUNT(N11:P11)&gt;0,1,0)),1))</f>
        <v>18.7</v>
      </c>
      <c r="T11" s="7"/>
      <c r="U11" s="7"/>
      <c r="V11" s="7"/>
      <c r="W11" s="7"/>
      <c r="X11" s="7"/>
    </row>
    <row r="12" spans="1:24" ht="22.5" customHeight="1" x14ac:dyDescent="0.25">
      <c r="A12" s="8">
        <v>12</v>
      </c>
      <c r="B12" s="8" t="s">
        <v>128</v>
      </c>
      <c r="C12" s="8" t="s">
        <v>36</v>
      </c>
      <c r="D12" s="8" t="s">
        <v>125</v>
      </c>
      <c r="E12" s="8" t="s">
        <v>36</v>
      </c>
      <c r="F12" s="8" t="s">
        <v>264</v>
      </c>
      <c r="G12" s="8" t="s">
        <v>354</v>
      </c>
      <c r="H12" s="8" t="s">
        <v>42</v>
      </c>
      <c r="I12" s="8" t="s">
        <v>129</v>
      </c>
      <c r="J12" s="9" t="s">
        <v>112</v>
      </c>
      <c r="K12" s="10">
        <v>10</v>
      </c>
      <c r="L12" s="9">
        <v>17</v>
      </c>
      <c r="M12" s="9"/>
      <c r="N12" s="9"/>
      <c r="O12" s="9"/>
      <c r="P12" s="9"/>
      <c r="Q12" s="9"/>
      <c r="R12" s="9">
        <v>18</v>
      </c>
      <c r="S12" s="11">
        <f>IF(R12&lt;&gt;"",R12,ROUND((L12+M12+K12+IF(COUNT(N12:P12)&gt;0,AVERAGE(N12:P12),0))/(3+IF(COUNT(N12:P12)&gt;0,1,0)),1))</f>
        <v>18</v>
      </c>
      <c r="T12" s="7"/>
      <c r="U12" s="7"/>
      <c r="V12" s="7"/>
      <c r="W12" s="7"/>
      <c r="X12" s="7"/>
    </row>
    <row r="13" spans="1:24" ht="22.5" customHeight="1" x14ac:dyDescent="0.25">
      <c r="A13" s="8">
        <v>74</v>
      </c>
      <c r="B13" s="8" t="s">
        <v>205</v>
      </c>
      <c r="C13" s="8">
        <v>5000000000</v>
      </c>
      <c r="D13" s="8" t="s">
        <v>22</v>
      </c>
      <c r="E13" s="8" t="s">
        <v>71</v>
      </c>
      <c r="F13" s="8" t="s">
        <v>151</v>
      </c>
      <c r="G13" s="8" t="s">
        <v>169</v>
      </c>
      <c r="H13" s="8" t="s">
        <v>42</v>
      </c>
      <c r="I13" s="8" t="s">
        <v>36</v>
      </c>
      <c r="J13" s="9" t="s">
        <v>112</v>
      </c>
      <c r="K13" s="10">
        <v>10</v>
      </c>
      <c r="L13" s="9">
        <v>17</v>
      </c>
      <c r="M13" s="9">
        <v>18</v>
      </c>
      <c r="N13" s="9"/>
      <c r="O13" s="9">
        <v>20</v>
      </c>
      <c r="P13" s="9"/>
      <c r="Q13" s="9"/>
      <c r="R13" s="9">
        <v>18</v>
      </c>
      <c r="S13" s="11">
        <f>IF(R13&lt;&gt;"",R13,ROUND((L13+M13+K13+IF(COUNT(N13:P13)&gt;0,AVERAGE(N13:P13),0))/(3+IF(COUNT(N13:P13)&gt;0,1,0)),1))</f>
        <v>18</v>
      </c>
      <c r="T13" s="7"/>
      <c r="U13" s="7"/>
      <c r="V13" s="7"/>
      <c r="W13" s="7"/>
      <c r="X13" s="7"/>
    </row>
    <row r="14" spans="1:24" ht="30" customHeight="1" x14ac:dyDescent="0.25">
      <c r="A14" s="8">
        <v>185</v>
      </c>
      <c r="B14" s="8" t="s">
        <v>185</v>
      </c>
      <c r="C14" s="8" t="s">
        <v>125</v>
      </c>
      <c r="D14" s="8" t="s">
        <v>125</v>
      </c>
      <c r="E14" s="8" t="s">
        <v>71</v>
      </c>
      <c r="F14" s="8" t="s">
        <v>189</v>
      </c>
      <c r="G14" s="8" t="s">
        <v>190</v>
      </c>
      <c r="H14" s="8" t="s">
        <v>110</v>
      </c>
      <c r="I14" s="8" t="s">
        <v>192</v>
      </c>
      <c r="J14" s="9" t="s">
        <v>112</v>
      </c>
      <c r="K14" s="10">
        <v>10</v>
      </c>
      <c r="L14" s="9">
        <v>16</v>
      </c>
      <c r="M14" s="9">
        <v>16</v>
      </c>
      <c r="N14" s="9"/>
      <c r="O14" s="9"/>
      <c r="P14" s="9"/>
      <c r="Q14" s="9"/>
      <c r="R14" s="9">
        <v>17</v>
      </c>
      <c r="S14" s="11">
        <f>IF(R14&lt;&gt;"",R14,ROUND((L14+M14+K14+IF(COUNT(N14:P14)&gt;0,AVERAGE(N14:P14),0))/(3+IF(COUNT(N14:P14)&gt;0,1,0)),1))</f>
        <v>17</v>
      </c>
      <c r="T14" s="7"/>
      <c r="U14" s="7"/>
      <c r="V14" s="7"/>
      <c r="W14" s="7"/>
      <c r="X14" s="7"/>
    </row>
    <row r="15" spans="1:24" ht="22.5" customHeight="1" x14ac:dyDescent="0.25">
      <c r="A15" s="8">
        <v>119</v>
      </c>
      <c r="B15" s="8" t="s">
        <v>198</v>
      </c>
      <c r="C15" s="8" t="s">
        <v>36</v>
      </c>
      <c r="D15" s="8" t="s">
        <v>36</v>
      </c>
      <c r="E15" s="8" t="s">
        <v>71</v>
      </c>
      <c r="F15" s="8" t="s">
        <v>200</v>
      </c>
      <c r="G15" s="8" t="s">
        <v>31</v>
      </c>
      <c r="H15" s="8" t="s">
        <v>110</v>
      </c>
      <c r="I15" s="8" t="s">
        <v>36</v>
      </c>
      <c r="J15" s="9" t="s">
        <v>112</v>
      </c>
      <c r="K15" s="10">
        <v>10</v>
      </c>
      <c r="L15" s="9">
        <v>19</v>
      </c>
      <c r="M15" s="9">
        <v>20</v>
      </c>
      <c r="N15" s="9"/>
      <c r="O15" s="9"/>
      <c r="P15" s="9"/>
      <c r="Q15" s="9">
        <v>20</v>
      </c>
      <c r="R15" s="9"/>
      <c r="S15" s="11">
        <f>IF(R15&lt;&gt;"",R15,ROUND((L15+M15+K15+IF(COUNT(N15:P15)&gt;0,AVERAGE(N15:P15),0))/(3+IF(COUNT(N15:P15)&gt;0,1,0)),1))</f>
        <v>16.3</v>
      </c>
      <c r="T15" s="7"/>
      <c r="U15" s="7"/>
      <c r="V15" s="7"/>
      <c r="W15" s="7"/>
      <c r="X15" s="7"/>
    </row>
    <row r="16" spans="1:24" ht="22.5" customHeight="1" x14ac:dyDescent="0.25">
      <c r="A16" s="8">
        <v>18</v>
      </c>
      <c r="B16" s="8" t="s">
        <v>170</v>
      </c>
      <c r="C16" s="8" t="s">
        <v>36</v>
      </c>
      <c r="D16" s="8" t="s">
        <v>125</v>
      </c>
      <c r="E16" s="8" t="s">
        <v>331</v>
      </c>
      <c r="F16" s="13" t="s">
        <v>145</v>
      </c>
      <c r="G16" s="8" t="s">
        <v>162</v>
      </c>
      <c r="H16" s="8" t="s">
        <v>42</v>
      </c>
      <c r="I16" s="8" t="s">
        <v>36</v>
      </c>
      <c r="J16" s="9" t="s">
        <v>112</v>
      </c>
      <c r="K16" s="10">
        <v>10</v>
      </c>
      <c r="L16" s="9">
        <v>17</v>
      </c>
      <c r="M16" s="9"/>
      <c r="N16" s="9"/>
      <c r="O16" s="9"/>
      <c r="P16" s="9"/>
      <c r="Q16" s="9">
        <v>19</v>
      </c>
      <c r="R16" s="9">
        <v>16</v>
      </c>
      <c r="S16" s="11">
        <f>IF(R16&lt;&gt;"",R16,ROUND((L16+M16+K16+IF(COUNT(N16:P16)&gt;0,AVERAGE(N16:P16),0))/(3+IF(COUNT(N16:P16)&gt;0,1,0)),1))</f>
        <v>16</v>
      </c>
      <c r="T16" s="7"/>
      <c r="U16" s="7"/>
      <c r="V16" s="7"/>
      <c r="W16" s="7"/>
      <c r="X16" s="7"/>
    </row>
    <row r="17" spans="1:24" ht="22.5" customHeight="1" x14ac:dyDescent="0.25">
      <c r="A17" s="8">
        <v>54</v>
      </c>
      <c r="B17" s="8" t="s">
        <v>346</v>
      </c>
      <c r="C17" s="14">
        <v>1320000000</v>
      </c>
      <c r="D17" s="8" t="s">
        <v>21</v>
      </c>
      <c r="E17" s="8" t="s">
        <v>212</v>
      </c>
      <c r="F17" s="8" t="s">
        <v>72</v>
      </c>
      <c r="G17" s="8" t="s">
        <v>213</v>
      </c>
      <c r="H17" s="8" t="s">
        <v>36</v>
      </c>
      <c r="I17" s="8" t="s">
        <v>36</v>
      </c>
      <c r="J17" s="9" t="s">
        <v>112</v>
      </c>
      <c r="K17" s="10">
        <v>10</v>
      </c>
      <c r="L17" s="9">
        <v>17</v>
      </c>
      <c r="M17" s="9">
        <v>13</v>
      </c>
      <c r="N17" s="9">
        <v>15</v>
      </c>
      <c r="O17" s="9"/>
      <c r="P17" s="9"/>
      <c r="Q17" s="9">
        <v>16</v>
      </c>
      <c r="R17" s="9">
        <v>16</v>
      </c>
      <c r="S17" s="11">
        <f>IF(R17&lt;&gt;"",R17,ROUND((L17+M17+K17+IF(COUNT(N17:P17)&gt;0,AVERAGE(N17:P17),0))/(3+IF(COUNT(N17:P17)&gt;0,1,0)),1))</f>
        <v>16</v>
      </c>
      <c r="T17" s="7"/>
      <c r="U17" s="7"/>
      <c r="V17" s="7"/>
      <c r="W17" s="7"/>
      <c r="X17" s="7"/>
    </row>
    <row r="18" spans="1:24" ht="22.5" customHeight="1" x14ac:dyDescent="0.25">
      <c r="A18" s="8">
        <v>59</v>
      </c>
      <c r="B18" s="8" t="s">
        <v>219</v>
      </c>
      <c r="C18" s="12" t="s">
        <v>36</v>
      </c>
      <c r="D18" s="8" t="s">
        <v>21</v>
      </c>
      <c r="E18" s="8" t="s">
        <v>71</v>
      </c>
      <c r="F18" s="8" t="s">
        <v>72</v>
      </c>
      <c r="G18" s="8" t="s">
        <v>223</v>
      </c>
      <c r="H18" s="8" t="s">
        <v>42</v>
      </c>
      <c r="I18" s="8" t="s">
        <v>192</v>
      </c>
      <c r="J18" s="9" t="s">
        <v>76</v>
      </c>
      <c r="K18" s="10">
        <v>14</v>
      </c>
      <c r="L18" s="9">
        <v>17</v>
      </c>
      <c r="M18" s="9">
        <v>16</v>
      </c>
      <c r="N18" s="9">
        <v>17</v>
      </c>
      <c r="O18" s="9"/>
      <c r="P18" s="9"/>
      <c r="Q18" s="9">
        <v>16</v>
      </c>
      <c r="R18" s="9"/>
      <c r="S18" s="11">
        <f>IF(R18&lt;&gt;"",R18,ROUND((L18+M18+K18+IF(COUNT(N18:P18)&gt;0,AVERAGE(N18:P18),0))/(3+IF(COUNT(N18:P18)&gt;0,1,0)),1))</f>
        <v>16</v>
      </c>
      <c r="T18" s="7"/>
      <c r="U18" s="7"/>
      <c r="V18" s="7"/>
      <c r="W18" s="7"/>
      <c r="X18" s="7"/>
    </row>
    <row r="19" spans="1:24" ht="22.5" customHeight="1" x14ac:dyDescent="0.25">
      <c r="A19" s="8">
        <v>95</v>
      </c>
      <c r="B19" s="8" t="s">
        <v>261</v>
      </c>
      <c r="C19" s="8">
        <v>296000000</v>
      </c>
      <c r="D19" s="8" t="s">
        <v>24</v>
      </c>
      <c r="E19" s="8" t="s">
        <v>212</v>
      </c>
      <c r="F19" s="8" t="s">
        <v>264</v>
      </c>
      <c r="G19" s="8" t="s">
        <v>265</v>
      </c>
      <c r="H19" s="8" t="s">
        <v>36</v>
      </c>
      <c r="I19" s="8" t="s">
        <v>266</v>
      </c>
      <c r="J19" s="9" t="s">
        <v>267</v>
      </c>
      <c r="K19" s="10">
        <v>14</v>
      </c>
      <c r="L19" s="9">
        <v>16</v>
      </c>
      <c r="M19" s="9">
        <v>12</v>
      </c>
      <c r="N19" s="9"/>
      <c r="O19" s="9"/>
      <c r="P19" s="9">
        <v>16</v>
      </c>
      <c r="Q19" s="9"/>
      <c r="R19" s="9">
        <v>16</v>
      </c>
      <c r="S19" s="11">
        <f>IF(R19&lt;&gt;"",R19,ROUND((L19+M19+K19+IF(COUNT(N19:P19)&gt;0,AVERAGE(N19:P19),0))/(3+IF(COUNT(N19:P19)&gt;0,1,0)),1))</f>
        <v>16</v>
      </c>
      <c r="T19" s="7"/>
      <c r="U19" s="7"/>
      <c r="V19" s="7"/>
      <c r="W19" s="7"/>
      <c r="X19" s="7"/>
    </row>
    <row r="20" spans="1:24" ht="22.5" customHeight="1" x14ac:dyDescent="0.25">
      <c r="A20" s="8">
        <v>92</v>
      </c>
      <c r="B20" s="8" t="s">
        <v>252</v>
      </c>
      <c r="C20" s="15">
        <v>1659000000</v>
      </c>
      <c r="D20" s="8" t="s">
        <v>24</v>
      </c>
      <c r="E20" s="8" t="s">
        <v>71</v>
      </c>
      <c r="F20" s="8" t="s">
        <v>255</v>
      </c>
      <c r="G20" s="8" t="s">
        <v>31</v>
      </c>
      <c r="H20" s="8" t="s">
        <v>42</v>
      </c>
      <c r="I20" s="8" t="s">
        <v>257</v>
      </c>
      <c r="J20" s="9" t="s">
        <v>112</v>
      </c>
      <c r="K20" s="10">
        <v>10</v>
      </c>
      <c r="L20" s="9">
        <v>16</v>
      </c>
      <c r="M20" s="9">
        <v>17</v>
      </c>
      <c r="N20" s="9"/>
      <c r="O20" s="9"/>
      <c r="P20" s="9">
        <v>12</v>
      </c>
      <c r="Q20" s="9">
        <v>11</v>
      </c>
      <c r="R20" s="9">
        <v>16</v>
      </c>
      <c r="S20" s="11">
        <f>IF(R20&lt;&gt;"",R20,ROUND((L20+M20+K20+IF(COUNT(N20:P20)&gt;0,AVERAGE(N20:P20),0))/(3+IF(COUNT(N20:P20)&gt;0,1,0)),1))</f>
        <v>16</v>
      </c>
      <c r="T20" s="7"/>
      <c r="U20" s="7"/>
      <c r="V20" s="7"/>
      <c r="W20" s="7"/>
      <c r="X20" s="7"/>
    </row>
    <row r="21" spans="1:24" ht="15.75" customHeight="1" x14ac:dyDescent="0.25">
      <c r="A21" s="8">
        <v>118</v>
      </c>
      <c r="B21" s="8" t="s">
        <v>358</v>
      </c>
      <c r="C21" s="15" t="s">
        <v>36</v>
      </c>
      <c r="D21" s="8" t="s">
        <v>36</v>
      </c>
      <c r="E21" s="8" t="s">
        <v>36</v>
      </c>
      <c r="F21" s="8" t="s">
        <v>38</v>
      </c>
      <c r="G21" s="8" t="s">
        <v>274</v>
      </c>
      <c r="H21" s="8" t="s">
        <v>42</v>
      </c>
      <c r="I21" s="8" t="s">
        <v>44</v>
      </c>
      <c r="J21" s="9" t="s">
        <v>112</v>
      </c>
      <c r="K21" s="10">
        <v>10</v>
      </c>
      <c r="L21" s="9">
        <v>16</v>
      </c>
      <c r="M21" s="9">
        <v>15</v>
      </c>
      <c r="N21" s="9"/>
      <c r="O21" s="9"/>
      <c r="P21" s="9"/>
      <c r="Q21" s="9"/>
      <c r="R21" s="9">
        <v>16</v>
      </c>
      <c r="S21" s="11">
        <f>IF(R21&lt;&gt;"",R21,ROUND((L21+M21+K21+IF(COUNT(N21:P21)&gt;0,AVERAGE(N21:P21),0))/(3+IF(COUNT(N21:P21)&gt;0,1,0)),1))</f>
        <v>16</v>
      </c>
      <c r="T21" s="7"/>
      <c r="U21" s="7"/>
      <c r="V21" s="7"/>
      <c r="W21" s="7"/>
      <c r="X21" s="7"/>
    </row>
    <row r="22" spans="1:24" ht="15.75" customHeight="1" x14ac:dyDescent="0.25">
      <c r="A22" s="8">
        <v>77</v>
      </c>
      <c r="B22" s="8" t="s">
        <v>399</v>
      </c>
      <c r="C22" s="8">
        <v>3000000000</v>
      </c>
      <c r="D22" s="8" t="s">
        <v>24</v>
      </c>
      <c r="E22" s="8" t="s">
        <v>212</v>
      </c>
      <c r="F22" s="8" t="s">
        <v>151</v>
      </c>
      <c r="G22" s="8" t="s">
        <v>310</v>
      </c>
      <c r="H22" s="8" t="s">
        <v>42</v>
      </c>
      <c r="I22" s="8" t="s">
        <v>36</v>
      </c>
      <c r="J22" s="9" t="s">
        <v>112</v>
      </c>
      <c r="K22" s="10">
        <v>10</v>
      </c>
      <c r="L22" s="9">
        <v>16</v>
      </c>
      <c r="M22" s="9">
        <v>11</v>
      </c>
      <c r="N22" s="9"/>
      <c r="O22" s="9"/>
      <c r="P22" s="9">
        <v>15</v>
      </c>
      <c r="Q22" s="9"/>
      <c r="R22" s="9">
        <v>16</v>
      </c>
      <c r="S22" s="11">
        <f>IF(R22&lt;&gt;"",R22,ROUND((L22+M22+K22+IF(COUNT(N22:P22)&gt;0,AVERAGE(N22:P22),0))/(3+IF(COUNT(N22:P22)&gt;0,1,0)),1))</f>
        <v>16</v>
      </c>
      <c r="T22" s="7"/>
      <c r="U22" s="7"/>
      <c r="V22" s="7"/>
      <c r="W22" s="7"/>
      <c r="X22" s="7"/>
    </row>
    <row r="23" spans="1:24" ht="15.75" customHeight="1" x14ac:dyDescent="0.25">
      <c r="A23" s="8">
        <v>53</v>
      </c>
      <c r="B23" s="8" t="s">
        <v>210</v>
      </c>
      <c r="C23" s="14">
        <v>1390000000</v>
      </c>
      <c r="D23" s="8" t="s">
        <v>21</v>
      </c>
      <c r="E23" s="8" t="s">
        <v>212</v>
      </c>
      <c r="F23" s="8" t="s">
        <v>72</v>
      </c>
      <c r="G23" s="8" t="s">
        <v>213</v>
      </c>
      <c r="H23" s="8" t="s">
        <v>42</v>
      </c>
      <c r="I23" s="8" t="s">
        <v>214</v>
      </c>
      <c r="J23" s="9" t="s">
        <v>216</v>
      </c>
      <c r="K23" s="10">
        <v>20</v>
      </c>
      <c r="L23" s="9">
        <v>16</v>
      </c>
      <c r="M23" s="9">
        <v>12</v>
      </c>
      <c r="N23" s="9">
        <v>16</v>
      </c>
      <c r="O23" s="9"/>
      <c r="P23" s="9"/>
      <c r="Q23" s="9">
        <v>16</v>
      </c>
      <c r="R23" s="9"/>
      <c r="S23" s="11">
        <f>IF(R23&lt;&gt;"",R23,ROUND((L23+M23+K23+IF(COUNT(N23:P23)&gt;0,AVERAGE(N23:P23),0))/(3+IF(COUNT(N23:P23)&gt;0,1,0)),1))</f>
        <v>16</v>
      </c>
      <c r="T23" s="7"/>
      <c r="U23" s="7"/>
      <c r="V23" s="7"/>
      <c r="W23" s="7"/>
      <c r="X23" s="7"/>
    </row>
    <row r="24" spans="1:24" ht="15.75" customHeight="1" x14ac:dyDescent="0.25">
      <c r="A24" s="8">
        <v>1</v>
      </c>
      <c r="B24" s="8" t="s">
        <v>23</v>
      </c>
      <c r="C24" s="8">
        <v>3000000000</v>
      </c>
      <c r="D24" s="8" t="s">
        <v>21</v>
      </c>
      <c r="E24" s="8" t="s">
        <v>71</v>
      </c>
      <c r="F24" s="13" t="s">
        <v>231</v>
      </c>
      <c r="G24" s="8" t="s">
        <v>31</v>
      </c>
      <c r="H24" s="8" t="s">
        <v>42</v>
      </c>
      <c r="I24" s="8" t="s">
        <v>129</v>
      </c>
      <c r="J24" s="9" t="s">
        <v>112</v>
      </c>
      <c r="K24" s="10">
        <v>10</v>
      </c>
      <c r="L24" s="9">
        <v>14</v>
      </c>
      <c r="M24" s="9">
        <v>17</v>
      </c>
      <c r="N24" s="9">
        <v>20</v>
      </c>
      <c r="O24" s="9"/>
      <c r="P24" s="9"/>
      <c r="Q24" s="9">
        <v>14</v>
      </c>
      <c r="R24" s="9"/>
      <c r="S24" s="11">
        <f>IF(R24&lt;&gt;"",R24,ROUND((L24+M24+K24+IF(COUNT(N24:P24)&gt;0,AVERAGE(N24:P24),0))/(3+IF(COUNT(N24:P24)&gt;0,1,0)),1))</f>
        <v>15.3</v>
      </c>
      <c r="T24" s="7"/>
      <c r="U24" s="7"/>
      <c r="V24" s="7"/>
      <c r="W24" s="7"/>
      <c r="X24" s="7"/>
    </row>
    <row r="25" spans="1:24" ht="15.75" customHeight="1" x14ac:dyDescent="0.25">
      <c r="A25" s="8">
        <v>200</v>
      </c>
      <c r="B25" s="8" t="s">
        <v>244</v>
      </c>
      <c r="C25" s="8">
        <v>1800000000</v>
      </c>
      <c r="D25" s="8" t="s">
        <v>125</v>
      </c>
      <c r="E25" s="8" t="s">
        <v>212</v>
      </c>
      <c r="F25" s="13" t="s">
        <v>238</v>
      </c>
      <c r="G25" s="8" t="s">
        <v>31</v>
      </c>
      <c r="H25" s="8" t="s">
        <v>36</v>
      </c>
      <c r="I25" s="8" t="s">
        <v>178</v>
      </c>
      <c r="J25" s="9" t="s">
        <v>180</v>
      </c>
      <c r="K25" s="10">
        <v>15</v>
      </c>
      <c r="L25" s="9">
        <v>17</v>
      </c>
      <c r="M25" s="9">
        <v>13</v>
      </c>
      <c r="N25" s="9"/>
      <c r="O25" s="9"/>
      <c r="P25" s="9"/>
      <c r="Q25" s="9">
        <v>12</v>
      </c>
      <c r="R25" s="9"/>
      <c r="S25" s="11">
        <f>IF(R25&lt;&gt;"",R25,ROUND((L25+M25+K25+IF(COUNT(N25:P25)&gt;0,AVERAGE(N25:P25),0))/(3+IF(COUNT(N25:P25)&gt;0,1,0)),1))</f>
        <v>15</v>
      </c>
      <c r="T25" s="7"/>
      <c r="U25" s="7"/>
      <c r="V25" s="7"/>
      <c r="W25" s="7"/>
      <c r="X25" s="7"/>
    </row>
    <row r="26" spans="1:24" ht="15.75" customHeight="1" x14ac:dyDescent="0.25">
      <c r="A26" s="8">
        <v>199</v>
      </c>
      <c r="B26" s="8" t="s">
        <v>237</v>
      </c>
      <c r="C26" s="15">
        <v>1800000000</v>
      </c>
      <c r="D26" s="8" t="s">
        <v>125</v>
      </c>
      <c r="E26" s="8" t="s">
        <v>212</v>
      </c>
      <c r="F26" s="8" t="s">
        <v>238</v>
      </c>
      <c r="G26" s="8" t="s">
        <v>31</v>
      </c>
      <c r="H26" s="8" t="s">
        <v>36</v>
      </c>
      <c r="I26" s="8" t="s">
        <v>178</v>
      </c>
      <c r="J26" s="9" t="s">
        <v>180</v>
      </c>
      <c r="K26" s="10">
        <v>15</v>
      </c>
      <c r="L26" s="9">
        <v>17</v>
      </c>
      <c r="M26" s="9">
        <v>13</v>
      </c>
      <c r="N26" s="9"/>
      <c r="O26" s="9"/>
      <c r="P26" s="9"/>
      <c r="Q26" s="9">
        <v>12</v>
      </c>
      <c r="R26" s="9"/>
      <c r="S26" s="11">
        <f>IF(R26&lt;&gt;"",R26,ROUND((L26+M26+K26+IF(COUNT(N26:P26)&gt;0,AVERAGE(N26:P26),0))/(3+IF(COUNT(N26:P26)&gt;0,1,0)),1))</f>
        <v>15</v>
      </c>
      <c r="T26" s="7"/>
      <c r="U26" s="7"/>
      <c r="V26" s="7"/>
      <c r="W26" s="7"/>
      <c r="X26" s="7"/>
    </row>
    <row r="27" spans="1:24" ht="15.75" customHeight="1" x14ac:dyDescent="0.25">
      <c r="A27" s="8">
        <v>46</v>
      </c>
      <c r="B27" s="8" t="s">
        <v>295</v>
      </c>
      <c r="C27" s="8">
        <v>1057000000</v>
      </c>
      <c r="D27" s="8" t="s">
        <v>24</v>
      </c>
      <c r="E27" s="8" t="s">
        <v>71</v>
      </c>
      <c r="F27" s="13" t="s">
        <v>90</v>
      </c>
      <c r="G27" s="8" t="s">
        <v>297</v>
      </c>
      <c r="H27" s="8" t="s">
        <v>42</v>
      </c>
      <c r="I27" s="8" t="s">
        <v>299</v>
      </c>
      <c r="J27" s="9" t="s">
        <v>112</v>
      </c>
      <c r="K27" s="10">
        <v>10</v>
      </c>
      <c r="L27" s="9">
        <v>16</v>
      </c>
      <c r="M27" s="9">
        <v>16</v>
      </c>
      <c r="N27" s="9"/>
      <c r="O27" s="9"/>
      <c r="P27" s="9">
        <v>15</v>
      </c>
      <c r="Q27" s="9">
        <v>16</v>
      </c>
      <c r="R27" s="9">
        <v>16</v>
      </c>
      <c r="S27" s="11">
        <f>IF(R27&lt;&gt;"",R27,ROUND((L27+M27+K27+IF(COUNT(N27:P27)&gt;0,AVERAGE(N27:P27),0))/(3+IF(COUNT(N27:P27)&gt;0,1,0)),1))</f>
        <v>16</v>
      </c>
      <c r="T27" s="7"/>
      <c r="U27" s="7"/>
      <c r="V27" s="7"/>
      <c r="W27" s="7"/>
      <c r="X27" s="7"/>
    </row>
    <row r="28" spans="1:24" ht="15.75" customHeight="1" x14ac:dyDescent="0.25">
      <c r="A28" s="8">
        <v>150</v>
      </c>
      <c r="B28" s="8" t="s">
        <v>304</v>
      </c>
      <c r="C28" s="8" t="s">
        <v>36</v>
      </c>
      <c r="D28" s="8" t="s">
        <v>125</v>
      </c>
      <c r="E28" s="8" t="s">
        <v>71</v>
      </c>
      <c r="F28" s="8" t="s">
        <v>305</v>
      </c>
      <c r="G28" s="8" t="s">
        <v>223</v>
      </c>
      <c r="H28" s="8" t="s">
        <v>110</v>
      </c>
      <c r="I28" s="8" t="s">
        <v>192</v>
      </c>
      <c r="J28" s="9" t="s">
        <v>112</v>
      </c>
      <c r="K28" s="10">
        <v>10</v>
      </c>
      <c r="L28" s="9">
        <v>16</v>
      </c>
      <c r="M28" s="9">
        <v>17</v>
      </c>
      <c r="N28" s="9"/>
      <c r="O28" s="9"/>
      <c r="P28" s="9"/>
      <c r="Q28" s="9"/>
      <c r="R28" s="9">
        <v>17</v>
      </c>
      <c r="S28" s="11">
        <f>IF(R28&lt;&gt;"",R28,ROUND((L28+M28+K28+IF(COUNT(N28:P28)&gt;0,AVERAGE(N28:P28),0))/(3+IF(COUNT(N28:P28)&gt;0,1,0)),1))</f>
        <v>17</v>
      </c>
      <c r="T28" s="7"/>
      <c r="U28" s="7"/>
      <c r="V28" s="7"/>
      <c r="W28" s="7"/>
      <c r="X28" s="7"/>
    </row>
    <row r="29" spans="1:24" ht="15.75" customHeight="1" x14ac:dyDescent="0.25">
      <c r="A29" s="8">
        <v>113</v>
      </c>
      <c r="B29" s="8" t="s">
        <v>282</v>
      </c>
      <c r="C29" s="8" t="s">
        <v>36</v>
      </c>
      <c r="D29" s="8" t="s">
        <v>21</v>
      </c>
      <c r="E29" s="8" t="s">
        <v>36</v>
      </c>
      <c r="F29" s="8" t="s">
        <v>38</v>
      </c>
      <c r="G29" s="8" t="s">
        <v>274</v>
      </c>
      <c r="H29" s="8" t="s">
        <v>42</v>
      </c>
      <c r="I29" s="8" t="s">
        <v>36</v>
      </c>
      <c r="J29" s="9" t="s">
        <v>112</v>
      </c>
      <c r="K29" s="10">
        <v>10</v>
      </c>
      <c r="L29" s="9">
        <v>15</v>
      </c>
      <c r="M29" s="9">
        <v>15</v>
      </c>
      <c r="N29" s="9">
        <v>17</v>
      </c>
      <c r="O29" s="9"/>
      <c r="P29" s="9"/>
      <c r="Q29" s="9"/>
      <c r="R29" s="9">
        <v>16</v>
      </c>
      <c r="S29" s="11">
        <f>IF(R29&lt;&gt;"",R29,ROUND((L29+M29+K29+IF(COUNT(N29:P29)&gt;0,AVERAGE(N29:P29),0))/(3+IF(COUNT(N29:P29)&gt;0,1,0)),1))</f>
        <v>16</v>
      </c>
      <c r="T29" s="7"/>
      <c r="U29" s="7"/>
      <c r="V29" s="7"/>
      <c r="W29" s="7"/>
      <c r="X29" s="7"/>
    </row>
    <row r="30" spans="1:24" ht="15.75" customHeight="1" x14ac:dyDescent="0.25">
      <c r="A30" s="8">
        <v>112</v>
      </c>
      <c r="B30" s="8" t="s">
        <v>272</v>
      </c>
      <c r="C30" s="8" t="s">
        <v>36</v>
      </c>
      <c r="D30" s="8" t="s">
        <v>21</v>
      </c>
      <c r="E30" s="8" t="s">
        <v>36</v>
      </c>
      <c r="F30" s="8" t="s">
        <v>38</v>
      </c>
      <c r="G30" s="8" t="s">
        <v>274</v>
      </c>
      <c r="H30" s="8" t="s">
        <v>42</v>
      </c>
      <c r="I30" s="8" t="s">
        <v>36</v>
      </c>
      <c r="J30" s="9" t="s">
        <v>112</v>
      </c>
      <c r="K30" s="10">
        <v>10</v>
      </c>
      <c r="L30" s="9">
        <v>15</v>
      </c>
      <c r="M30" s="9">
        <v>15</v>
      </c>
      <c r="N30" s="9">
        <v>17</v>
      </c>
      <c r="O30" s="9"/>
      <c r="P30" s="9"/>
      <c r="Q30" s="9"/>
      <c r="R30" s="9">
        <v>16</v>
      </c>
      <c r="S30" s="11">
        <f>IF(R30&lt;&gt;"",R30,ROUND((L30+M30+K30+IF(COUNT(N30:P30)&gt;0,AVERAGE(N30:P30),0))/(3+IF(COUNT(N30:P30)&gt;0,1,0)),1))</f>
        <v>16</v>
      </c>
      <c r="T30" s="7"/>
      <c r="U30" s="7"/>
      <c r="V30" s="7"/>
      <c r="W30" s="7"/>
      <c r="X30" s="7"/>
    </row>
    <row r="31" spans="1:24" ht="15.75" customHeight="1" x14ac:dyDescent="0.25">
      <c r="A31" s="8">
        <v>116</v>
      </c>
      <c r="B31" s="8" t="s">
        <v>289</v>
      </c>
      <c r="C31" s="8" t="s">
        <v>36</v>
      </c>
      <c r="D31" s="8" t="s">
        <v>21</v>
      </c>
      <c r="E31" s="8" t="s">
        <v>36</v>
      </c>
      <c r="F31" s="8" t="s">
        <v>38</v>
      </c>
      <c r="G31" s="8" t="s">
        <v>274</v>
      </c>
      <c r="H31" s="8" t="s">
        <v>42</v>
      </c>
      <c r="I31" s="8" t="s">
        <v>36</v>
      </c>
      <c r="J31" s="9" t="s">
        <v>112</v>
      </c>
      <c r="K31" s="10">
        <v>10</v>
      </c>
      <c r="L31" s="9">
        <v>15</v>
      </c>
      <c r="M31" s="9">
        <v>15</v>
      </c>
      <c r="N31" s="9">
        <v>17</v>
      </c>
      <c r="O31" s="9"/>
      <c r="P31" s="9"/>
      <c r="Q31" s="9"/>
      <c r="R31" s="9">
        <v>16</v>
      </c>
      <c r="S31" s="11">
        <f>IF(R31&lt;&gt;"",R31,ROUND((L31+M31+K31+IF(COUNT(N31:P31)&gt;0,AVERAGE(N31:P31),0))/(3+IF(COUNT(N31:P31)&gt;0,1,0)),1))</f>
        <v>16</v>
      </c>
      <c r="T31" s="7"/>
      <c r="U31" s="7"/>
      <c r="V31" s="7"/>
      <c r="W31" s="7"/>
      <c r="X31" s="7"/>
    </row>
    <row r="32" spans="1:24" ht="15.75" customHeight="1" x14ac:dyDescent="0.25">
      <c r="A32" s="8">
        <v>114</v>
      </c>
      <c r="B32" s="8" t="s">
        <v>286</v>
      </c>
      <c r="C32" s="8" t="s">
        <v>36</v>
      </c>
      <c r="D32" s="8" t="s">
        <v>21</v>
      </c>
      <c r="E32" s="8" t="s">
        <v>36</v>
      </c>
      <c r="F32" s="8" t="s">
        <v>38</v>
      </c>
      <c r="G32" s="8" t="s">
        <v>274</v>
      </c>
      <c r="H32" s="8" t="s">
        <v>42</v>
      </c>
      <c r="I32" s="8" t="s">
        <v>36</v>
      </c>
      <c r="J32" s="9" t="s">
        <v>112</v>
      </c>
      <c r="K32" s="10">
        <v>10</v>
      </c>
      <c r="L32" s="9">
        <v>15</v>
      </c>
      <c r="M32" s="9">
        <v>15</v>
      </c>
      <c r="N32" s="9">
        <v>17</v>
      </c>
      <c r="O32" s="9"/>
      <c r="P32" s="9"/>
      <c r="Q32" s="9"/>
      <c r="R32" s="9">
        <v>16</v>
      </c>
      <c r="S32" s="11">
        <f>IF(R32&lt;&gt;"",R32,ROUND((L32+M32+K32+IF(COUNT(N32:P32)&gt;0,AVERAGE(N32:P32),0))/(3+IF(COUNT(N32:P32)&gt;0,1,0)),1))</f>
        <v>16</v>
      </c>
      <c r="T32" s="7"/>
      <c r="U32" s="7"/>
      <c r="V32" s="7"/>
      <c r="W32" s="7"/>
      <c r="X32" s="7"/>
    </row>
    <row r="33" spans="1:24" ht="15.75" customHeight="1" x14ac:dyDescent="0.25">
      <c r="A33" s="8">
        <v>2</v>
      </c>
      <c r="B33" s="8" t="s">
        <v>37</v>
      </c>
      <c r="C33" s="15">
        <v>1111000000</v>
      </c>
      <c r="D33" s="8" t="s">
        <v>125</v>
      </c>
      <c r="E33" s="8" t="s">
        <v>71</v>
      </c>
      <c r="F33" s="13" t="s">
        <v>231</v>
      </c>
      <c r="G33" s="8" t="s">
        <v>162</v>
      </c>
      <c r="H33" s="8" t="s">
        <v>42</v>
      </c>
      <c r="I33" s="8" t="s">
        <v>129</v>
      </c>
      <c r="J33" s="9" t="s">
        <v>112</v>
      </c>
      <c r="K33" s="10">
        <v>10</v>
      </c>
      <c r="L33" s="9">
        <v>17</v>
      </c>
      <c r="M33" s="9">
        <v>15</v>
      </c>
      <c r="N33" s="9"/>
      <c r="O33" s="9"/>
      <c r="P33" s="9"/>
      <c r="Q33" s="9">
        <v>14</v>
      </c>
      <c r="R33" s="9"/>
      <c r="S33" s="11">
        <f>IF(R33&lt;&gt;"",R33,ROUND((L33+M33+K33+IF(COUNT(N33:P33)&gt;0,AVERAGE(N33:P33),0))/(3+IF(COUNT(N33:P33)&gt;0,1,0)),1))</f>
        <v>14</v>
      </c>
      <c r="T33" s="7"/>
      <c r="U33" s="7"/>
      <c r="V33" s="7"/>
      <c r="W33" s="7"/>
      <c r="X33" s="7"/>
    </row>
    <row r="34" spans="1:24" ht="15.75" customHeight="1" x14ac:dyDescent="0.25">
      <c r="A34" s="8">
        <v>76</v>
      </c>
      <c r="B34" s="8" t="s">
        <v>308</v>
      </c>
      <c r="C34" s="8">
        <v>3000000000</v>
      </c>
      <c r="D34" s="8" t="s">
        <v>22</v>
      </c>
      <c r="E34" s="8" t="s">
        <v>212</v>
      </c>
      <c r="F34" s="8" t="s">
        <v>151</v>
      </c>
      <c r="G34" s="8" t="s">
        <v>310</v>
      </c>
      <c r="H34" s="8" t="s">
        <v>42</v>
      </c>
      <c r="I34" s="8" t="s">
        <v>36</v>
      </c>
      <c r="J34" s="9" t="s">
        <v>112</v>
      </c>
      <c r="K34" s="10">
        <v>10</v>
      </c>
      <c r="L34" s="9">
        <v>15</v>
      </c>
      <c r="M34" s="9">
        <v>14</v>
      </c>
      <c r="N34" s="9"/>
      <c r="O34" s="9">
        <v>17</v>
      </c>
      <c r="P34" s="9"/>
      <c r="Q34" s="9"/>
      <c r="R34" s="9"/>
      <c r="S34" s="11">
        <f>IF(R34&lt;&gt;"",R34,ROUND((L34+M34+K34+IF(COUNT(N34:P34)&gt;0,AVERAGE(N34:P34),0))/(3+IF(COUNT(N34:P34)&gt;0,1,0)),1))</f>
        <v>14</v>
      </c>
      <c r="T34" s="7"/>
      <c r="U34" s="7"/>
      <c r="V34" s="7"/>
      <c r="W34" s="7"/>
      <c r="X34" s="7"/>
    </row>
    <row r="35" spans="1:24" ht="15.75" customHeight="1" x14ac:dyDescent="0.25">
      <c r="A35" s="8">
        <v>60</v>
      </c>
      <c r="B35" s="8" t="s">
        <v>319</v>
      </c>
      <c r="C35" s="15">
        <v>3000000000</v>
      </c>
      <c r="D35" s="15" t="s">
        <v>24</v>
      </c>
      <c r="E35" s="8" t="s">
        <v>71</v>
      </c>
      <c r="F35" s="8" t="s">
        <v>322</v>
      </c>
      <c r="G35" s="8" t="s">
        <v>31</v>
      </c>
      <c r="H35" s="8" t="s">
        <v>42</v>
      </c>
      <c r="I35" s="8" t="s">
        <v>324</v>
      </c>
      <c r="J35" s="9" t="s">
        <v>112</v>
      </c>
      <c r="K35" s="10">
        <v>10</v>
      </c>
      <c r="L35" s="9">
        <v>15</v>
      </c>
      <c r="M35" s="9">
        <v>15</v>
      </c>
      <c r="N35" s="9"/>
      <c r="O35" s="9"/>
      <c r="P35" s="9">
        <v>16</v>
      </c>
      <c r="Q35" s="9">
        <v>10</v>
      </c>
      <c r="R35" s="9"/>
      <c r="S35" s="11">
        <f>IF(R35&lt;&gt;"",R35,ROUND((L35+M35+K35+IF(COUNT(N35:P35)&gt;0,AVERAGE(N35:P35),0))/(3+IF(COUNT(N35:P35)&gt;0,1,0)),1))</f>
        <v>14</v>
      </c>
      <c r="T35" s="7"/>
      <c r="U35" s="7"/>
      <c r="V35" s="7"/>
      <c r="W35" s="7"/>
      <c r="X35" s="7"/>
    </row>
    <row r="36" spans="1:24" ht="15.75" customHeight="1" x14ac:dyDescent="0.25">
      <c r="A36" s="8">
        <v>30</v>
      </c>
      <c r="B36" s="8" t="s">
        <v>328</v>
      </c>
      <c r="C36" s="8">
        <v>3996000000</v>
      </c>
      <c r="D36" s="8" t="s">
        <v>330</v>
      </c>
      <c r="E36" s="8" t="s">
        <v>331</v>
      </c>
      <c r="F36" s="8" t="s">
        <v>332</v>
      </c>
      <c r="G36" s="8" t="s">
        <v>31</v>
      </c>
      <c r="H36" s="8" t="s">
        <v>42</v>
      </c>
      <c r="I36" s="8" t="s">
        <v>36</v>
      </c>
      <c r="J36" s="9" t="s">
        <v>112</v>
      </c>
      <c r="K36" s="10">
        <v>10</v>
      </c>
      <c r="L36" s="9">
        <v>13</v>
      </c>
      <c r="M36" s="9">
        <v>13</v>
      </c>
      <c r="N36" s="9"/>
      <c r="O36" s="9">
        <v>19</v>
      </c>
      <c r="P36" s="9">
        <v>20</v>
      </c>
      <c r="Q36" s="9">
        <v>12</v>
      </c>
      <c r="R36" s="9"/>
      <c r="S36" s="11">
        <f>IF(R36&lt;&gt;"",R36,ROUND((L36+M36+K36+IF(COUNT(N36:P36)&gt;0,AVERAGE(N36:P36),0))/(3+IF(COUNT(N36:P36)&gt;0,1,0)),1))</f>
        <v>13.9</v>
      </c>
      <c r="T36" s="7"/>
      <c r="U36" s="7"/>
      <c r="V36" s="7"/>
      <c r="W36" s="7"/>
      <c r="X36" s="7"/>
    </row>
    <row r="37" spans="1:24" ht="15.75" customHeight="1" x14ac:dyDescent="0.25">
      <c r="A37" s="8">
        <v>75</v>
      </c>
      <c r="B37" s="8" t="s">
        <v>335</v>
      </c>
      <c r="C37" s="8" t="s">
        <v>36</v>
      </c>
      <c r="D37" s="8" t="s">
        <v>22</v>
      </c>
      <c r="E37" s="8" t="s">
        <v>71</v>
      </c>
      <c r="F37" s="8" t="s">
        <v>332</v>
      </c>
      <c r="G37" s="8" t="s">
        <v>310</v>
      </c>
      <c r="H37" s="8" t="s">
        <v>42</v>
      </c>
      <c r="I37" s="8" t="s">
        <v>36</v>
      </c>
      <c r="J37" s="9" t="s">
        <v>112</v>
      </c>
      <c r="K37" s="10">
        <v>10</v>
      </c>
      <c r="L37" s="9">
        <v>15</v>
      </c>
      <c r="M37" s="9">
        <v>14</v>
      </c>
      <c r="N37" s="9"/>
      <c r="O37" s="9">
        <v>16</v>
      </c>
      <c r="P37" s="9"/>
      <c r="Q37" s="9">
        <v>12</v>
      </c>
      <c r="R37" s="9"/>
      <c r="S37" s="11">
        <f>IF(R37&lt;&gt;"",R37,ROUND((L37+M37+K37+IF(COUNT(N37:P37)&gt;0,AVERAGE(N37:P37),0))/(3+IF(COUNT(N37:P37)&gt;0,1,0)),1))</f>
        <v>13.8</v>
      </c>
      <c r="T37" s="7"/>
      <c r="U37" s="7"/>
      <c r="V37" s="7"/>
      <c r="W37" s="7"/>
      <c r="X37" s="7"/>
    </row>
    <row r="38" spans="1:24" ht="15.75" customHeight="1" x14ac:dyDescent="0.25">
      <c r="A38" s="8">
        <v>31</v>
      </c>
      <c r="B38" s="8" t="s">
        <v>236</v>
      </c>
      <c r="C38" s="15">
        <v>1374000000</v>
      </c>
      <c r="D38" s="8" t="s">
        <v>21</v>
      </c>
      <c r="E38" s="8" t="s">
        <v>212</v>
      </c>
      <c r="F38" s="13" t="s">
        <v>108</v>
      </c>
      <c r="G38" s="8" t="s">
        <v>161</v>
      </c>
      <c r="H38" s="8" t="s">
        <v>42</v>
      </c>
      <c r="I38" s="8" t="s">
        <v>36</v>
      </c>
      <c r="J38" s="9" t="s">
        <v>112</v>
      </c>
      <c r="K38" s="10">
        <v>10</v>
      </c>
      <c r="L38" s="9">
        <v>15</v>
      </c>
      <c r="M38" s="9">
        <v>14</v>
      </c>
      <c r="N38" s="9">
        <v>16</v>
      </c>
      <c r="O38" s="9"/>
      <c r="P38" s="9"/>
      <c r="Q38" s="9">
        <v>18</v>
      </c>
      <c r="R38" s="9"/>
      <c r="S38" s="11">
        <f>IF(R38&lt;&gt;"",R38,ROUND((L38+M38+K38+IF(COUNT(N38:P38)&gt;0,AVERAGE(N38:P38),0))/(3+IF(COUNT(N38:P38)&gt;0,1,0)),1))</f>
        <v>13.8</v>
      </c>
      <c r="T38" s="7"/>
      <c r="U38" s="7"/>
      <c r="V38" s="7"/>
      <c r="W38" s="7"/>
      <c r="X38" s="7"/>
    </row>
    <row r="39" spans="1:24" ht="15.75" customHeight="1" x14ac:dyDescent="0.25">
      <c r="A39" s="8">
        <v>26</v>
      </c>
      <c r="B39" s="8" t="s">
        <v>226</v>
      </c>
      <c r="C39" s="15">
        <v>3590000000</v>
      </c>
      <c r="D39" s="8" t="s">
        <v>125</v>
      </c>
      <c r="E39" s="8" t="s">
        <v>212</v>
      </c>
      <c r="F39" s="8" t="s">
        <v>225</v>
      </c>
      <c r="G39" s="8" t="s">
        <v>354</v>
      </c>
      <c r="H39" s="8" t="s">
        <v>42</v>
      </c>
      <c r="I39" s="8" t="s">
        <v>36</v>
      </c>
      <c r="J39" s="9" t="s">
        <v>112</v>
      </c>
      <c r="K39" s="10">
        <v>10</v>
      </c>
      <c r="L39" s="9">
        <v>17</v>
      </c>
      <c r="M39" s="9">
        <v>14</v>
      </c>
      <c r="N39" s="9"/>
      <c r="O39" s="9"/>
      <c r="P39" s="9"/>
      <c r="Q39" s="9">
        <v>12</v>
      </c>
      <c r="R39" s="9">
        <v>17</v>
      </c>
      <c r="S39" s="11">
        <f>IF(R39&lt;&gt;"",R39,ROUND((L39+M39+K39+IF(COUNT(N39:P39)&gt;0,AVERAGE(N39:P39),0))/(3+IF(COUNT(N39:P39)&gt;0,1,0)),1))</f>
        <v>17</v>
      </c>
      <c r="T39" s="7"/>
      <c r="U39" s="7"/>
      <c r="V39" s="7"/>
      <c r="W39" s="7"/>
      <c r="X39" s="7"/>
    </row>
    <row r="40" spans="1:24" ht="15.75" customHeight="1" x14ac:dyDescent="0.25">
      <c r="A40" s="8">
        <v>55</v>
      </c>
      <c r="B40" s="8" t="s">
        <v>371</v>
      </c>
      <c r="C40" s="8">
        <v>1000000000</v>
      </c>
      <c r="D40" s="8" t="s">
        <v>21</v>
      </c>
      <c r="E40" s="8" t="s">
        <v>212</v>
      </c>
      <c r="F40" s="8" t="s">
        <v>72</v>
      </c>
      <c r="G40" s="8" t="s">
        <v>213</v>
      </c>
      <c r="H40" s="8" t="s">
        <v>42</v>
      </c>
      <c r="I40" s="8" t="s">
        <v>36</v>
      </c>
      <c r="J40" s="9" t="s">
        <v>373</v>
      </c>
      <c r="K40" s="10">
        <v>12</v>
      </c>
      <c r="L40" s="9">
        <v>17</v>
      </c>
      <c r="M40" s="9">
        <v>11</v>
      </c>
      <c r="N40" s="9">
        <v>14</v>
      </c>
      <c r="O40" s="9"/>
      <c r="P40" s="9"/>
      <c r="Q40" s="9">
        <v>16</v>
      </c>
      <c r="R40" s="9"/>
      <c r="S40" s="11">
        <f>IF(R40&lt;&gt;"",R40,ROUND((L40+M40+K40+IF(COUNT(N40:P40)&gt;0,AVERAGE(N40:P40),0))/(3+IF(COUNT(N40:P40)&gt;0,1,0)),1))</f>
        <v>13.5</v>
      </c>
      <c r="T40" s="7"/>
      <c r="U40" s="7"/>
      <c r="V40" s="7"/>
      <c r="W40" s="7"/>
      <c r="X40" s="7"/>
    </row>
    <row r="41" spans="1:24" ht="15.75" customHeight="1" x14ac:dyDescent="0.25">
      <c r="A41" s="8">
        <v>14</v>
      </c>
      <c r="B41" s="8" t="s">
        <v>135</v>
      </c>
      <c r="C41" s="8">
        <v>602000000</v>
      </c>
      <c r="D41" s="8" t="s">
        <v>22</v>
      </c>
      <c r="E41" s="8" t="s">
        <v>331</v>
      </c>
      <c r="F41" s="8" t="s">
        <v>264</v>
      </c>
      <c r="G41" s="8" t="s">
        <v>265</v>
      </c>
      <c r="H41" s="8" t="s">
        <v>42</v>
      </c>
      <c r="I41" s="8" t="s">
        <v>129</v>
      </c>
      <c r="J41" s="9" t="s">
        <v>112</v>
      </c>
      <c r="K41" s="10">
        <v>10</v>
      </c>
      <c r="L41" s="9">
        <v>15</v>
      </c>
      <c r="M41" s="9">
        <v>13</v>
      </c>
      <c r="N41" s="9"/>
      <c r="O41" s="9">
        <v>16</v>
      </c>
      <c r="P41" s="9"/>
      <c r="Q41" s="9"/>
      <c r="R41" s="9"/>
      <c r="S41" s="11">
        <f>IF(R41&lt;&gt;"",R41,ROUND((L41+M41+K41+IF(COUNT(N41:P41)&gt;0,AVERAGE(N41:P41),0))/(3+IF(COUNT(N41:P41)&gt;0,1,0)),1))</f>
        <v>13.5</v>
      </c>
      <c r="T41" s="7"/>
      <c r="U41" s="7"/>
      <c r="V41" s="7"/>
      <c r="W41" s="7"/>
      <c r="X41" s="7"/>
    </row>
    <row r="42" spans="1:24" ht="30" customHeight="1" x14ac:dyDescent="0.25">
      <c r="A42" s="8">
        <v>5</v>
      </c>
      <c r="B42" s="8" t="s">
        <v>63</v>
      </c>
      <c r="C42" s="8">
        <v>1032000000</v>
      </c>
      <c r="D42" s="8" t="s">
        <v>125</v>
      </c>
      <c r="E42" s="8" t="s">
        <v>212</v>
      </c>
      <c r="F42" s="13" t="s">
        <v>231</v>
      </c>
      <c r="G42" s="8" t="s">
        <v>188</v>
      </c>
      <c r="H42" s="8" t="s">
        <v>42</v>
      </c>
      <c r="I42" s="8" t="s">
        <v>382</v>
      </c>
      <c r="J42" s="9" t="s">
        <v>70</v>
      </c>
      <c r="K42" s="10">
        <v>12</v>
      </c>
      <c r="L42" s="9">
        <v>16</v>
      </c>
      <c r="M42" s="9">
        <v>12</v>
      </c>
      <c r="N42" s="9"/>
      <c r="O42" s="9"/>
      <c r="P42" s="9"/>
      <c r="Q42" s="9">
        <v>14</v>
      </c>
      <c r="R42" s="9"/>
      <c r="S42" s="11">
        <f>IF(R42&lt;&gt;"",R42,ROUND((L42+M42+K42+IF(COUNT(N42:P42)&gt;0,AVERAGE(N42:P42),0))/(3+IF(COUNT(N42:P42)&gt;0,1,0)),1))</f>
        <v>13.3</v>
      </c>
      <c r="T42" s="7"/>
      <c r="U42" s="7"/>
      <c r="V42" s="7"/>
      <c r="W42" s="7"/>
      <c r="X42" s="7"/>
    </row>
    <row r="43" spans="1:24" ht="15.75" customHeight="1" x14ac:dyDescent="0.25">
      <c r="A43" s="8">
        <v>115</v>
      </c>
      <c r="B43" s="8" t="s">
        <v>375</v>
      </c>
      <c r="C43" s="8" t="s">
        <v>36</v>
      </c>
      <c r="D43" s="8" t="s">
        <v>21</v>
      </c>
      <c r="E43" s="8" t="s">
        <v>36</v>
      </c>
      <c r="F43" s="8" t="s">
        <v>38</v>
      </c>
      <c r="G43" s="8" t="s">
        <v>274</v>
      </c>
      <c r="H43" s="8" t="s">
        <v>42</v>
      </c>
      <c r="I43" s="8" t="s">
        <v>36</v>
      </c>
      <c r="J43" s="9" t="s">
        <v>112</v>
      </c>
      <c r="K43" s="10">
        <v>10</v>
      </c>
      <c r="L43" s="9">
        <v>15</v>
      </c>
      <c r="M43" s="9">
        <v>11</v>
      </c>
      <c r="N43" s="9">
        <v>17</v>
      </c>
      <c r="O43" s="9"/>
      <c r="P43" s="9"/>
      <c r="Q43" s="9"/>
      <c r="R43" s="9"/>
      <c r="S43" s="11">
        <f>IF(R43&lt;&gt;"",R43,ROUND((L43+M43+K43+IF(COUNT(N43:P43)&gt;0,AVERAGE(N43:P43),0))/(3+IF(COUNT(N43:P43)&gt;0,1,0)),1))</f>
        <v>13.3</v>
      </c>
      <c r="T43" s="7"/>
      <c r="U43" s="7"/>
      <c r="V43" s="7"/>
      <c r="W43" s="7"/>
      <c r="X43" s="7"/>
    </row>
    <row r="44" spans="1:24" ht="15.75" customHeight="1" x14ac:dyDescent="0.25">
      <c r="A44" s="8">
        <v>13</v>
      </c>
      <c r="B44" s="8" t="s">
        <v>136</v>
      </c>
      <c r="C44" s="8">
        <v>550000000</v>
      </c>
      <c r="D44" s="8" t="s">
        <v>22</v>
      </c>
      <c r="E44" s="8" t="s">
        <v>392</v>
      </c>
      <c r="F44" s="13" t="s">
        <v>108</v>
      </c>
      <c r="G44" s="8" t="s">
        <v>393</v>
      </c>
      <c r="H44" s="8" t="s">
        <v>110</v>
      </c>
      <c r="I44" s="8" t="s">
        <v>324</v>
      </c>
      <c r="J44" s="9" t="s">
        <v>112</v>
      </c>
      <c r="K44" s="10">
        <v>10</v>
      </c>
      <c r="L44" s="9">
        <v>15</v>
      </c>
      <c r="M44" s="9">
        <v>12</v>
      </c>
      <c r="N44" s="9"/>
      <c r="O44" s="9">
        <v>16</v>
      </c>
      <c r="P44" s="9"/>
      <c r="Q44" s="9">
        <v>18</v>
      </c>
      <c r="R44" s="9"/>
      <c r="S44" s="11">
        <f>IF(R44&lt;&gt;"",R44,ROUND((L44+M44+K44+IF(COUNT(N44:P44)&gt;0,AVERAGE(N44:P44),0))/(3+IF(COUNT(N44:P44)&gt;0,1,0)),1))</f>
        <v>13.3</v>
      </c>
      <c r="T44" s="7"/>
      <c r="U44" s="7"/>
      <c r="V44" s="7"/>
      <c r="W44" s="7"/>
      <c r="X44" s="7"/>
    </row>
    <row r="45" spans="1:24" ht="15.75" customHeight="1" x14ac:dyDescent="0.25">
      <c r="A45" s="8">
        <v>62</v>
      </c>
      <c r="B45" s="8" t="s">
        <v>379</v>
      </c>
      <c r="C45" s="8">
        <v>3000000000</v>
      </c>
      <c r="D45" s="8" t="s">
        <v>24</v>
      </c>
      <c r="E45" s="8" t="s">
        <v>212</v>
      </c>
      <c r="F45" s="8" t="s">
        <v>381</v>
      </c>
      <c r="G45" s="8" t="s">
        <v>31</v>
      </c>
      <c r="H45" s="8" t="s">
        <v>42</v>
      </c>
      <c r="I45" s="8" t="s">
        <v>382</v>
      </c>
      <c r="J45" s="9" t="s">
        <v>112</v>
      </c>
      <c r="K45" s="10">
        <v>10</v>
      </c>
      <c r="L45" s="9">
        <v>11</v>
      </c>
      <c r="M45" s="9">
        <v>12</v>
      </c>
      <c r="N45" s="9"/>
      <c r="O45" s="9"/>
      <c r="P45" s="9">
        <v>20</v>
      </c>
      <c r="Q45" s="9">
        <v>9</v>
      </c>
      <c r="R45" s="9"/>
      <c r="S45" s="11">
        <f>IF(R45&lt;&gt;"",R45,ROUND((L45+M45+K45+IF(COUNT(N45:P45)&gt;0,AVERAGE(N45:P45),0))/(3+IF(COUNT(N45:P45)&gt;0,1,0)),1))</f>
        <v>13.3</v>
      </c>
      <c r="T45" s="7"/>
      <c r="U45" s="7"/>
      <c r="V45" s="7"/>
      <c r="W45" s="7"/>
      <c r="X45" s="7"/>
    </row>
    <row r="46" spans="1:24" ht="15.75" customHeight="1" x14ac:dyDescent="0.25">
      <c r="A46" s="8">
        <v>10</v>
      </c>
      <c r="B46" s="8" t="s">
        <v>107</v>
      </c>
      <c r="C46" s="8">
        <v>1100000000</v>
      </c>
      <c r="D46" s="8" t="s">
        <v>125</v>
      </c>
      <c r="E46" s="8" t="s">
        <v>331</v>
      </c>
      <c r="F46" s="13" t="s">
        <v>231</v>
      </c>
      <c r="G46" s="8" t="s">
        <v>188</v>
      </c>
      <c r="H46" s="8" t="s">
        <v>42</v>
      </c>
      <c r="I46" s="8" t="s">
        <v>93</v>
      </c>
      <c r="J46" s="9" t="s">
        <v>373</v>
      </c>
      <c r="K46" s="10">
        <v>12</v>
      </c>
      <c r="L46" s="9">
        <v>16</v>
      </c>
      <c r="M46" s="9">
        <v>11</v>
      </c>
      <c r="N46" s="9"/>
      <c r="O46" s="9"/>
      <c r="P46" s="9"/>
      <c r="Q46" s="9">
        <v>14</v>
      </c>
      <c r="R46" s="9">
        <v>15</v>
      </c>
      <c r="S46" s="11">
        <f>IF(R46&lt;&gt;"",R46,ROUND((L46+M46+K46+IF(COUNT(N46:P46)&gt;0,AVERAGE(N46:P46),0))/(3+IF(COUNT(N46:P46)&gt;0,1,0)),1))</f>
        <v>15</v>
      </c>
      <c r="T46" s="7"/>
      <c r="U46" s="7"/>
      <c r="V46" s="7"/>
      <c r="W46" s="7"/>
      <c r="X46" s="7"/>
    </row>
    <row r="47" spans="1:24" ht="15.75" customHeight="1" x14ac:dyDescent="0.25">
      <c r="A47" s="8">
        <v>104</v>
      </c>
      <c r="B47" s="8" t="s">
        <v>405</v>
      </c>
      <c r="C47" s="8" t="s">
        <v>36</v>
      </c>
      <c r="D47" s="8" t="s">
        <v>21</v>
      </c>
      <c r="E47" s="8" t="s">
        <v>212</v>
      </c>
      <c r="F47" s="8" t="s">
        <v>409</v>
      </c>
      <c r="G47" s="8" t="s">
        <v>410</v>
      </c>
      <c r="H47" s="8" t="s">
        <v>42</v>
      </c>
      <c r="I47" s="8" t="s">
        <v>36</v>
      </c>
      <c r="J47" s="9" t="s">
        <v>112</v>
      </c>
      <c r="K47" s="10">
        <v>10</v>
      </c>
      <c r="L47" s="9">
        <v>15</v>
      </c>
      <c r="M47" s="9">
        <v>13</v>
      </c>
      <c r="N47" s="9">
        <v>14</v>
      </c>
      <c r="O47" s="9"/>
      <c r="P47" s="9"/>
      <c r="Q47" s="9"/>
      <c r="R47" s="9"/>
      <c r="S47" s="11">
        <f>IF(R47&lt;&gt;"",R47,ROUND((L47+M47+K47+IF(COUNT(N47:P47)&gt;0,AVERAGE(N47:P47),0))/(3+IF(COUNT(N47:P47)&gt;0,1,0)),1))</f>
        <v>13</v>
      </c>
      <c r="T47" s="7"/>
      <c r="U47" s="7"/>
      <c r="V47" s="7"/>
      <c r="W47" s="7"/>
      <c r="X47" s="7"/>
    </row>
    <row r="48" spans="1:24" ht="15.75" customHeight="1" x14ac:dyDescent="0.25">
      <c r="A48" s="8">
        <v>32</v>
      </c>
      <c r="B48" s="8" t="s">
        <v>270</v>
      </c>
      <c r="C48" s="8" t="s">
        <v>36</v>
      </c>
      <c r="D48" s="8" t="s">
        <v>24</v>
      </c>
      <c r="E48" s="8" t="s">
        <v>36</v>
      </c>
      <c r="F48" s="13" t="s">
        <v>108</v>
      </c>
      <c r="G48" s="8" t="s">
        <v>433</v>
      </c>
      <c r="H48" s="8" t="s">
        <v>42</v>
      </c>
      <c r="I48" s="8" t="s">
        <v>36</v>
      </c>
      <c r="J48" s="9" t="s">
        <v>112</v>
      </c>
      <c r="K48" s="10">
        <v>10</v>
      </c>
      <c r="L48" s="9">
        <v>16</v>
      </c>
      <c r="M48" s="9">
        <v>11</v>
      </c>
      <c r="N48" s="9"/>
      <c r="O48" s="9"/>
      <c r="P48" s="9">
        <v>13</v>
      </c>
      <c r="Q48" s="9">
        <v>18</v>
      </c>
      <c r="R48" s="9"/>
      <c r="S48" s="11">
        <f>IF(R48&lt;&gt;"",R48,ROUND((L48+M48+K48+IF(COUNT(N48:P48)&gt;0,AVERAGE(N48:P48),0))/(3+IF(COUNT(N48:P48)&gt;0,1,0)),1))</f>
        <v>12.5</v>
      </c>
      <c r="T48" s="7"/>
      <c r="U48" s="7"/>
      <c r="V48" s="7"/>
      <c r="W48" s="7"/>
      <c r="X48" s="7"/>
    </row>
    <row r="49" spans="1:24" ht="15.75" customHeight="1" x14ac:dyDescent="0.25">
      <c r="A49" s="8">
        <v>89</v>
      </c>
      <c r="B49" s="8" t="s">
        <v>442</v>
      </c>
      <c r="C49" s="12">
        <v>1965000000</v>
      </c>
      <c r="D49" s="12" t="s">
        <v>22</v>
      </c>
      <c r="E49" s="8" t="s">
        <v>212</v>
      </c>
      <c r="F49" s="8" t="s">
        <v>225</v>
      </c>
      <c r="G49" s="8" t="s">
        <v>354</v>
      </c>
      <c r="H49" s="8" t="s">
        <v>42</v>
      </c>
      <c r="I49" s="8" t="s">
        <v>36</v>
      </c>
      <c r="J49" s="9" t="s">
        <v>112</v>
      </c>
      <c r="K49" s="10">
        <v>10</v>
      </c>
      <c r="L49" s="9">
        <v>15</v>
      </c>
      <c r="M49" s="9">
        <v>11</v>
      </c>
      <c r="N49" s="9"/>
      <c r="O49" s="9">
        <v>14</v>
      </c>
      <c r="P49" s="9"/>
      <c r="Q49" s="9">
        <v>12</v>
      </c>
      <c r="R49" s="9">
        <v>15</v>
      </c>
      <c r="S49" s="11">
        <f>IF(R49&lt;&gt;"",R49,ROUND((L49+M49+K49+IF(COUNT(N49:P49)&gt;0,AVERAGE(N49:P49),0))/(3+IF(COUNT(N49:P49)&gt;0,1,0)),1))</f>
        <v>15</v>
      </c>
      <c r="T49" s="7"/>
      <c r="U49" s="7"/>
      <c r="V49" s="7"/>
      <c r="W49" s="7"/>
      <c r="X49" s="7"/>
    </row>
    <row r="50" spans="1:24" ht="15.75" customHeight="1" x14ac:dyDescent="0.25">
      <c r="A50" s="8">
        <v>96</v>
      </c>
      <c r="B50" s="8" t="s">
        <v>453</v>
      </c>
      <c r="C50" s="8" t="s">
        <v>36</v>
      </c>
      <c r="D50" s="8" t="s">
        <v>24</v>
      </c>
      <c r="E50" s="8" t="s">
        <v>36</v>
      </c>
      <c r="F50" s="8" t="s">
        <v>264</v>
      </c>
      <c r="G50" s="8" t="s">
        <v>265</v>
      </c>
      <c r="H50" s="8" t="s">
        <v>42</v>
      </c>
      <c r="I50" s="8" t="s">
        <v>457</v>
      </c>
      <c r="J50" s="9" t="s">
        <v>112</v>
      </c>
      <c r="K50" s="10">
        <v>10</v>
      </c>
      <c r="L50" s="9">
        <v>15</v>
      </c>
      <c r="M50" s="9">
        <v>15</v>
      </c>
      <c r="N50" s="9"/>
      <c r="O50" s="9"/>
      <c r="P50" s="9">
        <v>10</v>
      </c>
      <c r="Q50" s="9"/>
      <c r="R50" s="9">
        <v>16</v>
      </c>
      <c r="S50" s="11">
        <f>IF(R50&lt;&gt;"",R50,ROUND((L50+M50+K50+IF(COUNT(N50:P50)&gt;0,AVERAGE(N50:P50),0))/(3+IF(COUNT(N50:P50)&gt;0,1,0)),1))</f>
        <v>16</v>
      </c>
      <c r="T50" s="7"/>
      <c r="U50" s="7"/>
      <c r="V50" s="7"/>
      <c r="W50" s="7"/>
      <c r="X50" s="7"/>
    </row>
    <row r="51" spans="1:24" ht="15.75" customHeight="1" x14ac:dyDescent="0.25">
      <c r="A51" s="8">
        <v>78</v>
      </c>
      <c r="B51" s="8" t="s">
        <v>423</v>
      </c>
      <c r="C51" s="8">
        <v>3000000000</v>
      </c>
      <c r="D51" s="8" t="s">
        <v>22</v>
      </c>
      <c r="E51" s="8" t="s">
        <v>212</v>
      </c>
      <c r="F51" s="8" t="s">
        <v>151</v>
      </c>
      <c r="G51" s="8" t="s">
        <v>310</v>
      </c>
      <c r="H51" s="8" t="s">
        <v>42</v>
      </c>
      <c r="I51" s="8" t="s">
        <v>36</v>
      </c>
      <c r="J51" s="9" t="s">
        <v>112</v>
      </c>
      <c r="K51" s="10">
        <v>10</v>
      </c>
      <c r="L51" s="9">
        <v>15</v>
      </c>
      <c r="M51" s="9">
        <v>11</v>
      </c>
      <c r="N51" s="9"/>
      <c r="O51" s="9">
        <v>14</v>
      </c>
      <c r="P51" s="9"/>
      <c r="Q51" s="9"/>
      <c r="R51" s="9"/>
      <c r="S51" s="11">
        <f>IF(R51&lt;&gt;"",R51,ROUND((L51+M51+K51+IF(COUNT(N51:P51)&gt;0,AVERAGE(N51:P51),0))/(3+IF(COUNT(N51:P51)&gt;0,1,0)),1))</f>
        <v>12.5</v>
      </c>
      <c r="T51" s="7"/>
      <c r="U51" s="7"/>
      <c r="V51" s="7"/>
      <c r="W51" s="7"/>
      <c r="X51" s="7"/>
    </row>
    <row r="52" spans="1:24" ht="15.75" customHeight="1" x14ac:dyDescent="0.25">
      <c r="A52" s="8">
        <v>91</v>
      </c>
      <c r="B52" s="8" t="s">
        <v>414</v>
      </c>
      <c r="C52" s="8">
        <v>340000000</v>
      </c>
      <c r="D52" s="8" t="s">
        <v>24</v>
      </c>
      <c r="E52" s="8" t="s">
        <v>71</v>
      </c>
      <c r="F52" s="8" t="s">
        <v>415</v>
      </c>
      <c r="G52" s="8" t="s">
        <v>31</v>
      </c>
      <c r="H52" s="8" t="s">
        <v>42</v>
      </c>
      <c r="I52" s="8" t="s">
        <v>382</v>
      </c>
      <c r="J52" s="9" t="s">
        <v>112</v>
      </c>
      <c r="K52" s="10">
        <v>10</v>
      </c>
      <c r="L52" s="9">
        <v>13</v>
      </c>
      <c r="M52" s="9">
        <v>13</v>
      </c>
      <c r="N52" s="9"/>
      <c r="O52" s="9"/>
      <c r="P52" s="9">
        <v>14</v>
      </c>
      <c r="Q52" s="9">
        <v>9</v>
      </c>
      <c r="R52" s="9"/>
      <c r="S52" s="11">
        <f>IF(R52&lt;&gt;"",R52,ROUND((L52+M52+K52+IF(COUNT(N52:P52)&gt;0,AVERAGE(N52:P52),0))/(3+IF(COUNT(N52:P52)&gt;0,1,0)),1))</f>
        <v>12.5</v>
      </c>
      <c r="T52" s="7"/>
      <c r="U52" s="7"/>
      <c r="V52" s="7"/>
      <c r="W52" s="7"/>
      <c r="X52" s="7"/>
    </row>
    <row r="53" spans="1:24" ht="15.75" customHeight="1" x14ac:dyDescent="0.25">
      <c r="A53" s="8">
        <v>88</v>
      </c>
      <c r="B53" s="8" t="s">
        <v>464</v>
      </c>
      <c r="C53" s="8" t="s">
        <v>36</v>
      </c>
      <c r="D53" s="8" t="s">
        <v>36</v>
      </c>
      <c r="E53" s="8" t="s">
        <v>36</v>
      </c>
      <c r="F53" s="8" t="s">
        <v>151</v>
      </c>
      <c r="G53" s="8" t="s">
        <v>152</v>
      </c>
      <c r="H53" s="8" t="s">
        <v>36</v>
      </c>
      <c r="I53" s="8" t="s">
        <v>36</v>
      </c>
      <c r="J53" s="9" t="s">
        <v>112</v>
      </c>
      <c r="K53" s="10">
        <v>10</v>
      </c>
      <c r="L53" s="9">
        <v>15</v>
      </c>
      <c r="M53" s="9">
        <v>12</v>
      </c>
      <c r="N53" s="9"/>
      <c r="O53" s="9"/>
      <c r="P53" s="9"/>
      <c r="Q53" s="9"/>
      <c r="R53" s="9"/>
      <c r="S53" s="11">
        <f>IF(R53&lt;&gt;"",R53,ROUND((L53+M53+K53+IF(COUNT(N53:P53)&gt;0,AVERAGE(N53:P53),0))/(3+IF(COUNT(N53:P53)&gt;0,1,0)),1))</f>
        <v>12.3</v>
      </c>
      <c r="T53" s="7"/>
      <c r="U53" s="7"/>
      <c r="V53" s="7"/>
      <c r="W53" s="7"/>
      <c r="X53" s="7"/>
    </row>
    <row r="54" spans="1:24" ht="15.75" customHeight="1" x14ac:dyDescent="0.25">
      <c r="A54" s="8">
        <v>157</v>
      </c>
      <c r="B54" s="8" t="s">
        <v>476</v>
      </c>
      <c r="C54" s="12">
        <v>230000000</v>
      </c>
      <c r="D54" s="8" t="s">
        <v>125</v>
      </c>
      <c r="E54" s="8" t="s">
        <v>36</v>
      </c>
      <c r="F54" s="8" t="s">
        <v>478</v>
      </c>
      <c r="G54" s="8" t="s">
        <v>223</v>
      </c>
      <c r="H54" s="8" t="s">
        <v>110</v>
      </c>
      <c r="I54" s="8" t="s">
        <v>481</v>
      </c>
      <c r="J54" s="9" t="s">
        <v>373</v>
      </c>
      <c r="K54" s="10">
        <v>12</v>
      </c>
      <c r="L54" s="9">
        <v>16</v>
      </c>
      <c r="M54" s="9">
        <v>8</v>
      </c>
      <c r="N54" s="9"/>
      <c r="O54" s="9"/>
      <c r="P54" s="9"/>
      <c r="Q54" s="9">
        <v>6</v>
      </c>
      <c r="R54" s="9"/>
      <c r="S54" s="11">
        <f>IF(R54&lt;&gt;"",R54,ROUND((L54+M54+K54+IF(COUNT(N54:P54)&gt;0,AVERAGE(N54:P54),0))/(3+IF(COUNT(N54:P54)&gt;0,1,0)),1))</f>
        <v>12</v>
      </c>
      <c r="T54" s="7"/>
      <c r="U54" s="7"/>
      <c r="V54" s="7"/>
      <c r="W54" s="7"/>
      <c r="X54" s="7"/>
    </row>
    <row r="55" spans="1:24" ht="15.75" customHeight="1" x14ac:dyDescent="0.25">
      <c r="A55" s="8">
        <v>178</v>
      </c>
      <c r="B55" s="8" t="s">
        <v>509</v>
      </c>
      <c r="C55" s="12" t="s">
        <v>36</v>
      </c>
      <c r="D55" s="8" t="s">
        <v>125</v>
      </c>
      <c r="E55" s="8" t="s">
        <v>212</v>
      </c>
      <c r="F55" s="8" t="s">
        <v>501</v>
      </c>
      <c r="G55" s="8" t="s">
        <v>512</v>
      </c>
      <c r="H55" s="8" t="s">
        <v>42</v>
      </c>
      <c r="I55" s="8" t="s">
        <v>386</v>
      </c>
      <c r="J55" s="9" t="s">
        <v>424</v>
      </c>
      <c r="K55" s="10">
        <v>11</v>
      </c>
      <c r="L55" s="9">
        <v>15</v>
      </c>
      <c r="M55" s="9">
        <v>10</v>
      </c>
      <c r="N55" s="9"/>
      <c r="O55" s="9"/>
      <c r="P55" s="9"/>
      <c r="Q55" s="9"/>
      <c r="R55" s="9">
        <v>14</v>
      </c>
      <c r="S55" s="11">
        <f>IF(R55&lt;&gt;"",R55,ROUND((L55+M55+K55+IF(COUNT(N55:P55)&gt;0,AVERAGE(N55:P55),0))/(3+IF(COUNT(N55:P55)&gt;0,1,0)),1))</f>
        <v>14</v>
      </c>
      <c r="T55" s="7"/>
      <c r="U55" s="7"/>
      <c r="V55" s="7"/>
      <c r="W55" s="7"/>
      <c r="X55" s="7"/>
    </row>
    <row r="56" spans="1:24" ht="15.75" customHeight="1" x14ac:dyDescent="0.25">
      <c r="A56" s="8">
        <v>177</v>
      </c>
      <c r="B56" s="8" t="s">
        <v>498</v>
      </c>
      <c r="C56" s="15" t="s">
        <v>36</v>
      </c>
      <c r="D56" s="8" t="s">
        <v>125</v>
      </c>
      <c r="E56" s="8" t="s">
        <v>212</v>
      </c>
      <c r="F56" s="8" t="s">
        <v>501</v>
      </c>
      <c r="G56" s="8" t="s">
        <v>502</v>
      </c>
      <c r="H56" s="8" t="s">
        <v>42</v>
      </c>
      <c r="I56" s="8" t="s">
        <v>386</v>
      </c>
      <c r="J56" s="9" t="s">
        <v>424</v>
      </c>
      <c r="K56" s="10">
        <v>11</v>
      </c>
      <c r="L56" s="9">
        <v>15</v>
      </c>
      <c r="M56" s="9">
        <v>10</v>
      </c>
      <c r="N56" s="9"/>
      <c r="O56" s="9"/>
      <c r="P56" s="9"/>
      <c r="Q56" s="9"/>
      <c r="R56" s="9">
        <v>14</v>
      </c>
      <c r="S56" s="11">
        <f>IF(R56&lt;&gt;"",R56,ROUND((L56+M56+K56+IF(COUNT(N56:P56)&gt;0,AVERAGE(N56:P56),0))/(3+IF(COUNT(N56:P56)&gt;0,1,0)),1))</f>
        <v>14</v>
      </c>
      <c r="T56" s="7"/>
      <c r="U56" s="7"/>
      <c r="V56" s="7"/>
      <c r="W56" s="7"/>
      <c r="X56" s="7"/>
    </row>
    <row r="57" spans="1:24" ht="15.75" customHeight="1" x14ac:dyDescent="0.25">
      <c r="A57" s="8">
        <v>81</v>
      </c>
      <c r="B57" s="8" t="s">
        <v>518</v>
      </c>
      <c r="C57" s="8">
        <v>500000000</v>
      </c>
      <c r="D57" s="8" t="s">
        <v>22</v>
      </c>
      <c r="E57" s="8" t="s">
        <v>212</v>
      </c>
      <c r="F57" s="8" t="s">
        <v>151</v>
      </c>
      <c r="G57" s="8" t="s">
        <v>152</v>
      </c>
      <c r="H57" s="8" t="s">
        <v>42</v>
      </c>
      <c r="I57" s="8" t="s">
        <v>93</v>
      </c>
      <c r="J57" s="9" t="s">
        <v>112</v>
      </c>
      <c r="K57" s="10">
        <v>10</v>
      </c>
      <c r="L57" s="9">
        <v>13</v>
      </c>
      <c r="M57" s="9">
        <v>10</v>
      </c>
      <c r="N57" s="9"/>
      <c r="O57" s="9">
        <v>14</v>
      </c>
      <c r="P57" s="9"/>
      <c r="Q57" s="9"/>
      <c r="R57" s="9"/>
      <c r="S57" s="11">
        <f>IF(R57&lt;&gt;"",R57,ROUND((L57+M57+K57+IF(COUNT(N57:P57)&gt;0,AVERAGE(N57:P57),0))/(3+IF(COUNT(N57:P57)&gt;0,1,0)),1))</f>
        <v>11.8</v>
      </c>
      <c r="T57" s="7"/>
      <c r="U57" s="7"/>
      <c r="V57" s="7"/>
      <c r="W57" s="7"/>
      <c r="X57" s="7"/>
    </row>
    <row r="58" spans="1:24" ht="15.75" customHeight="1" x14ac:dyDescent="0.25">
      <c r="A58" s="8">
        <v>33</v>
      </c>
      <c r="B58" s="8" t="s">
        <v>277</v>
      </c>
      <c r="C58" s="8" t="s">
        <v>36</v>
      </c>
      <c r="D58" s="8" t="s">
        <v>125</v>
      </c>
      <c r="E58" s="8" t="s">
        <v>36</v>
      </c>
      <c r="F58" s="13" t="s">
        <v>108</v>
      </c>
      <c r="G58" s="8" t="s">
        <v>527</v>
      </c>
      <c r="H58" s="8" t="s">
        <v>42</v>
      </c>
      <c r="I58" s="8" t="s">
        <v>36</v>
      </c>
      <c r="J58" s="9" t="s">
        <v>112</v>
      </c>
      <c r="K58" s="10">
        <v>10</v>
      </c>
      <c r="L58" s="9">
        <v>15</v>
      </c>
      <c r="M58" s="9">
        <v>10</v>
      </c>
      <c r="N58" s="9"/>
      <c r="O58" s="9"/>
      <c r="P58" s="9"/>
      <c r="Q58" s="9">
        <v>18</v>
      </c>
      <c r="R58" s="9"/>
      <c r="S58" s="11">
        <f>IF(R58&lt;&gt;"",R58,ROUND((L58+M58+K58+IF(COUNT(N58:P58)&gt;0,AVERAGE(N58:P58),0))/(3+IF(COUNT(N58:P58)&gt;0,1,0)),1))</f>
        <v>11.7</v>
      </c>
      <c r="T58" s="7"/>
      <c r="U58" s="7"/>
      <c r="V58" s="7"/>
      <c r="W58" s="7"/>
      <c r="X58" s="7"/>
    </row>
    <row r="59" spans="1:24" ht="15.75" customHeight="1" x14ac:dyDescent="0.25">
      <c r="A59" s="8">
        <v>23</v>
      </c>
      <c r="B59" s="8" t="s">
        <v>124</v>
      </c>
      <c r="C59" s="8">
        <v>500000000</v>
      </c>
      <c r="D59" s="8" t="s">
        <v>125</v>
      </c>
      <c r="E59" s="8" t="s">
        <v>212</v>
      </c>
      <c r="F59" s="8" t="s">
        <v>151</v>
      </c>
      <c r="G59" s="8" t="s">
        <v>31</v>
      </c>
      <c r="H59" s="8" t="s">
        <v>42</v>
      </c>
      <c r="I59" s="8" t="s">
        <v>129</v>
      </c>
      <c r="J59" s="9" t="s">
        <v>112</v>
      </c>
      <c r="K59" s="10">
        <v>10</v>
      </c>
      <c r="L59" s="9">
        <v>13</v>
      </c>
      <c r="M59" s="9">
        <v>12</v>
      </c>
      <c r="N59" s="9"/>
      <c r="O59" s="9"/>
      <c r="P59" s="9"/>
      <c r="Q59" s="9"/>
      <c r="R59" s="9"/>
      <c r="S59" s="11">
        <f>IF(R59&lt;&gt;"",R59,ROUND((L59+M59+K59+IF(COUNT(N59:P59)&gt;0,AVERAGE(N59:P59),0))/(3+IF(COUNT(N59:P59)&gt;0,1,0)),1))</f>
        <v>11.7</v>
      </c>
      <c r="T59" s="7"/>
      <c r="U59" s="7"/>
      <c r="V59" s="7"/>
      <c r="W59" s="7"/>
      <c r="X59" s="7"/>
    </row>
    <row r="60" spans="1:24" ht="30" customHeight="1" x14ac:dyDescent="0.25">
      <c r="A60" s="8">
        <v>166</v>
      </c>
      <c r="B60" s="8" t="s">
        <v>543</v>
      </c>
      <c r="C60" s="8">
        <v>99000000</v>
      </c>
      <c r="D60" s="8" t="s">
        <v>24</v>
      </c>
      <c r="E60" s="8" t="s">
        <v>212</v>
      </c>
      <c r="F60" s="8" t="s">
        <v>415</v>
      </c>
      <c r="G60" s="8" t="s">
        <v>265</v>
      </c>
      <c r="H60" s="8" t="s">
        <v>36</v>
      </c>
      <c r="I60" s="8" t="s">
        <v>36</v>
      </c>
      <c r="J60" s="9" t="s">
        <v>112</v>
      </c>
      <c r="K60" s="10">
        <v>10</v>
      </c>
      <c r="L60" s="9">
        <v>16</v>
      </c>
      <c r="M60" s="9">
        <v>9</v>
      </c>
      <c r="N60" s="9"/>
      <c r="O60" s="9"/>
      <c r="P60" s="9">
        <v>11</v>
      </c>
      <c r="Q60" s="9">
        <v>9</v>
      </c>
      <c r="R60" s="9"/>
      <c r="S60" s="11">
        <f>IF(R60&lt;&gt;"",R60,ROUND((L60+M60+K60+IF(COUNT(N60:P60)&gt;0,AVERAGE(N60:P60),0))/(3+IF(COUNT(N60:P60)&gt;0,1,0)),1))</f>
        <v>11.5</v>
      </c>
      <c r="T60" s="7"/>
      <c r="U60" s="7"/>
      <c r="V60" s="7"/>
      <c r="W60" s="7"/>
      <c r="X60" s="7"/>
    </row>
    <row r="61" spans="1:24" ht="15.75" customHeight="1" x14ac:dyDescent="0.25">
      <c r="A61" s="8">
        <v>48</v>
      </c>
      <c r="B61" s="8" t="s">
        <v>349</v>
      </c>
      <c r="C61" s="14">
        <v>860000000</v>
      </c>
      <c r="D61" s="14" t="s">
        <v>24</v>
      </c>
      <c r="E61" s="8" t="s">
        <v>212</v>
      </c>
      <c r="F61" s="13" t="s">
        <v>90</v>
      </c>
      <c r="G61" s="8" t="s">
        <v>297</v>
      </c>
      <c r="H61" s="8" t="s">
        <v>42</v>
      </c>
      <c r="I61" s="8" t="s">
        <v>299</v>
      </c>
      <c r="J61" s="9" t="s">
        <v>112</v>
      </c>
      <c r="K61" s="10">
        <v>10</v>
      </c>
      <c r="L61" s="9">
        <v>15</v>
      </c>
      <c r="M61" s="9">
        <v>11</v>
      </c>
      <c r="N61" s="9"/>
      <c r="O61" s="9"/>
      <c r="P61" s="9">
        <v>10</v>
      </c>
      <c r="Q61" s="9">
        <v>16</v>
      </c>
      <c r="R61" s="9"/>
      <c r="S61" s="11">
        <f>IF(R61&lt;&gt;"",R61,ROUND((L61+M61+K61+IF(COUNT(N61:P61)&gt;0,AVERAGE(N61:P61),0))/(3+IF(COUNT(N61:P61)&gt;0,1,0)),1))</f>
        <v>11.5</v>
      </c>
      <c r="T61" s="7"/>
      <c r="U61" s="7"/>
      <c r="V61" s="7"/>
      <c r="W61" s="7"/>
      <c r="X61" s="7"/>
    </row>
    <row r="62" spans="1:24" ht="15.75" customHeight="1" x14ac:dyDescent="0.25">
      <c r="A62" s="8">
        <v>90</v>
      </c>
      <c r="B62" s="8" t="s">
        <v>548</v>
      </c>
      <c r="C62" s="8">
        <v>320000000</v>
      </c>
      <c r="D62" s="8" t="s">
        <v>24</v>
      </c>
      <c r="E62" s="8" t="s">
        <v>36</v>
      </c>
      <c r="F62" s="8" t="s">
        <v>551</v>
      </c>
      <c r="G62" s="8" t="s">
        <v>31</v>
      </c>
      <c r="H62" s="8" t="s">
        <v>42</v>
      </c>
      <c r="I62" s="8" t="s">
        <v>36</v>
      </c>
      <c r="J62" s="9" t="s">
        <v>112</v>
      </c>
      <c r="K62" s="10">
        <v>10</v>
      </c>
      <c r="L62" s="9">
        <v>15</v>
      </c>
      <c r="M62" s="9">
        <v>8</v>
      </c>
      <c r="N62" s="9"/>
      <c r="O62" s="9"/>
      <c r="P62" s="9">
        <v>13</v>
      </c>
      <c r="Q62" s="9">
        <v>4</v>
      </c>
      <c r="R62" s="9"/>
      <c r="S62" s="11">
        <f>IF(R62&lt;&gt;"",R62,ROUND((L62+M62+K62+IF(COUNT(N62:P62)&gt;0,AVERAGE(N62:P62),0))/(3+IF(COUNT(N62:P62)&gt;0,1,0)),1))</f>
        <v>11.5</v>
      </c>
      <c r="T62" s="7"/>
      <c r="U62" s="7"/>
      <c r="V62" s="7"/>
      <c r="W62" s="7"/>
      <c r="X62" s="7"/>
    </row>
    <row r="63" spans="1:24" ht="15.75" customHeight="1" x14ac:dyDescent="0.25">
      <c r="A63" s="8">
        <v>139</v>
      </c>
      <c r="B63" s="8" t="s">
        <v>558</v>
      </c>
      <c r="C63" s="8" t="s">
        <v>36</v>
      </c>
      <c r="D63" s="8" t="s">
        <v>22</v>
      </c>
      <c r="E63" s="8" t="s">
        <v>559</v>
      </c>
      <c r="F63" s="8" t="s">
        <v>560</v>
      </c>
      <c r="G63" s="8" t="s">
        <v>561</v>
      </c>
      <c r="H63" s="8" t="s">
        <v>42</v>
      </c>
      <c r="I63" s="8" t="s">
        <v>560</v>
      </c>
      <c r="J63" s="9" t="s">
        <v>563</v>
      </c>
      <c r="K63" s="10">
        <v>10</v>
      </c>
      <c r="L63" s="9">
        <v>13</v>
      </c>
      <c r="M63" s="9">
        <v>6</v>
      </c>
      <c r="N63" s="9"/>
      <c r="O63" s="9">
        <v>17</v>
      </c>
      <c r="P63" s="9"/>
      <c r="Q63" s="9"/>
      <c r="R63" s="9"/>
      <c r="S63" s="11">
        <f>IF(R63&lt;&gt;"",R63,ROUND((L63+M63+K63+IF(COUNT(N63:P63)&gt;0,AVERAGE(N63:P63),0))/(3+IF(COUNT(N63:P63)&gt;0,1,0)),1))</f>
        <v>11.5</v>
      </c>
      <c r="T63" s="7"/>
      <c r="U63" s="7"/>
      <c r="V63" s="7"/>
      <c r="W63" s="7"/>
      <c r="X63" s="7"/>
    </row>
    <row r="64" spans="1:24" ht="15.75" customHeight="1" x14ac:dyDescent="0.25">
      <c r="A64" s="8">
        <v>38</v>
      </c>
      <c r="B64" s="8" t="s">
        <v>298</v>
      </c>
      <c r="C64" s="8" t="s">
        <v>36</v>
      </c>
      <c r="D64" s="8" t="s">
        <v>24</v>
      </c>
      <c r="E64" s="8" t="s">
        <v>36</v>
      </c>
      <c r="F64" s="8" t="s">
        <v>332</v>
      </c>
      <c r="G64" s="8" t="s">
        <v>188</v>
      </c>
      <c r="H64" s="8" t="s">
        <v>42</v>
      </c>
      <c r="I64" s="8" t="s">
        <v>36</v>
      </c>
      <c r="J64" s="9" t="s">
        <v>112</v>
      </c>
      <c r="K64" s="10">
        <v>10</v>
      </c>
      <c r="L64" s="9">
        <v>16</v>
      </c>
      <c r="M64" s="9">
        <v>11</v>
      </c>
      <c r="N64" s="9"/>
      <c r="O64" s="9"/>
      <c r="P64" s="9">
        <v>8</v>
      </c>
      <c r="Q64" s="9">
        <v>12</v>
      </c>
      <c r="R64" s="9"/>
      <c r="S64" s="11">
        <f>IF(R64&lt;&gt;"",R64,ROUND((L64+M64+K64+IF(COUNT(N64:P64)&gt;0,AVERAGE(N64:P64),0))/(3+IF(COUNT(N64:P64)&gt;0,1,0)),1))</f>
        <v>11.3</v>
      </c>
      <c r="T64" s="7"/>
      <c r="U64" s="7"/>
      <c r="V64" s="7"/>
      <c r="W64" s="7"/>
      <c r="X64" s="7"/>
    </row>
    <row r="65" spans="1:24" ht="15.75" customHeight="1" x14ac:dyDescent="0.25">
      <c r="A65" s="8">
        <v>70</v>
      </c>
      <c r="B65" s="8" t="s">
        <v>458</v>
      </c>
      <c r="C65" s="8">
        <v>108000000</v>
      </c>
      <c r="D65" s="8" t="s">
        <v>24</v>
      </c>
      <c r="E65" s="8" t="s">
        <v>331</v>
      </c>
      <c r="F65" s="13" t="s">
        <v>615</v>
      </c>
      <c r="G65" s="8" t="s">
        <v>31</v>
      </c>
      <c r="H65" s="8" t="s">
        <v>42</v>
      </c>
      <c r="I65" s="8" t="s">
        <v>36</v>
      </c>
      <c r="J65" s="9" t="s">
        <v>112</v>
      </c>
      <c r="K65" s="10">
        <v>10</v>
      </c>
      <c r="L65" s="9">
        <v>16</v>
      </c>
      <c r="M65" s="9">
        <v>8</v>
      </c>
      <c r="N65" s="9"/>
      <c r="O65" s="9"/>
      <c r="P65" s="9">
        <v>11</v>
      </c>
      <c r="Q65" s="9">
        <v>5</v>
      </c>
      <c r="R65" s="9"/>
      <c r="S65" s="11">
        <f>IF(R65&lt;&gt;"",R65,ROUND((L65+M65+K65+IF(COUNT(N65:P65)&gt;0,AVERAGE(N65:P65),0))/(3+IF(COUNT(N65:P65)&gt;0,1,0)),1))</f>
        <v>11.3</v>
      </c>
      <c r="T65" s="7"/>
      <c r="U65" s="7"/>
      <c r="V65" s="7"/>
      <c r="W65" s="7"/>
      <c r="X65" s="7"/>
    </row>
    <row r="66" spans="1:24" ht="15.75" customHeight="1" x14ac:dyDescent="0.25">
      <c r="A66" s="8">
        <v>42</v>
      </c>
      <c r="B66" s="8" t="s">
        <v>318</v>
      </c>
      <c r="C66" s="8" t="s">
        <v>36</v>
      </c>
      <c r="D66" s="8" t="s">
        <v>24</v>
      </c>
      <c r="E66" s="8" t="s">
        <v>36</v>
      </c>
      <c r="F66" s="8" t="s">
        <v>332</v>
      </c>
      <c r="G66" s="8" t="s">
        <v>188</v>
      </c>
      <c r="H66" s="8" t="s">
        <v>42</v>
      </c>
      <c r="I66" s="8" t="s">
        <v>36</v>
      </c>
      <c r="J66" s="9" t="s">
        <v>112</v>
      </c>
      <c r="K66" s="10">
        <v>10</v>
      </c>
      <c r="L66" s="9">
        <v>15</v>
      </c>
      <c r="M66" s="9">
        <v>9</v>
      </c>
      <c r="N66" s="9"/>
      <c r="O66" s="9"/>
      <c r="P66" s="9"/>
      <c r="Q66" s="9">
        <v>12</v>
      </c>
      <c r="R66" s="9"/>
      <c r="S66" s="11">
        <f>IF(R66&lt;&gt;"",R66,ROUND((L66+M66+K66+IF(COUNT(N66:P66)&gt;0,AVERAGE(N66:P66),0))/(3+IF(COUNT(N66:P66)&gt;0,1,0)),1))</f>
        <v>11.3</v>
      </c>
      <c r="T66" s="7"/>
      <c r="U66" s="7"/>
      <c r="V66" s="7"/>
      <c r="W66" s="7"/>
      <c r="X66" s="7"/>
    </row>
    <row r="67" spans="1:24" ht="15.75" customHeight="1" x14ac:dyDescent="0.25">
      <c r="A67" s="8">
        <v>47</v>
      </c>
      <c r="B67" s="8" t="s">
        <v>344</v>
      </c>
      <c r="C67" s="8">
        <v>932000000</v>
      </c>
      <c r="D67" s="8" t="s">
        <v>24</v>
      </c>
      <c r="E67" s="8" t="s">
        <v>212</v>
      </c>
      <c r="F67" s="13" t="s">
        <v>90</v>
      </c>
      <c r="G67" s="8" t="s">
        <v>297</v>
      </c>
      <c r="H67" s="8" t="s">
        <v>42</v>
      </c>
      <c r="I67" s="8" t="s">
        <v>299</v>
      </c>
      <c r="J67" s="9" t="s">
        <v>112</v>
      </c>
      <c r="K67" s="10">
        <v>10</v>
      </c>
      <c r="L67" s="9">
        <v>15</v>
      </c>
      <c r="M67" s="9">
        <v>11</v>
      </c>
      <c r="N67" s="9"/>
      <c r="O67" s="9"/>
      <c r="P67" s="9">
        <v>9</v>
      </c>
      <c r="Q67" s="9">
        <v>16</v>
      </c>
      <c r="R67" s="9"/>
      <c r="S67" s="11">
        <f>IF(R67&lt;&gt;"",R67,ROUND((L67+M67+K67+IF(COUNT(N67:P67)&gt;0,AVERAGE(N67:P67),0))/(3+IF(COUNT(N67:P67)&gt;0,1,0)),1))</f>
        <v>11.3</v>
      </c>
      <c r="T67" s="7"/>
      <c r="U67" s="7"/>
      <c r="V67" s="7"/>
      <c r="W67" s="7"/>
      <c r="X67" s="7"/>
    </row>
    <row r="68" spans="1:24" ht="15.75" customHeight="1" x14ac:dyDescent="0.25">
      <c r="A68" s="8">
        <v>61</v>
      </c>
      <c r="B68" s="8" t="s">
        <v>407</v>
      </c>
      <c r="C68" s="8">
        <v>200000000</v>
      </c>
      <c r="D68" s="8" t="s">
        <v>125</v>
      </c>
      <c r="E68" s="8" t="s">
        <v>212</v>
      </c>
      <c r="F68" s="8" t="s">
        <v>322</v>
      </c>
      <c r="G68" s="8" t="s">
        <v>265</v>
      </c>
      <c r="H68" s="8" t="s">
        <v>42</v>
      </c>
      <c r="I68" s="8" t="s">
        <v>192</v>
      </c>
      <c r="J68" s="9" t="s">
        <v>112</v>
      </c>
      <c r="K68" s="10">
        <v>10</v>
      </c>
      <c r="L68" s="9">
        <v>14</v>
      </c>
      <c r="M68" s="9">
        <v>10</v>
      </c>
      <c r="N68" s="9"/>
      <c r="O68" s="9"/>
      <c r="P68" s="9"/>
      <c r="Q68" s="9">
        <v>10</v>
      </c>
      <c r="R68" s="9"/>
      <c r="S68" s="11">
        <f>IF(R68&lt;&gt;"",R68,ROUND((L68+M68+K68+IF(COUNT(N68:P68)&gt;0,AVERAGE(N68:P68),0))/(3+IF(COUNT(N68:P68)&gt;0,1,0)),1))</f>
        <v>11.3</v>
      </c>
      <c r="T68" s="7"/>
      <c r="U68" s="7"/>
      <c r="V68" s="7"/>
      <c r="W68" s="7"/>
      <c r="X68" s="7"/>
    </row>
    <row r="69" spans="1:24" ht="15.75" customHeight="1" x14ac:dyDescent="0.25">
      <c r="A69" s="8">
        <v>175</v>
      </c>
      <c r="B69" s="8" t="s">
        <v>598</v>
      </c>
      <c r="C69" s="8" t="s">
        <v>125</v>
      </c>
      <c r="D69" s="8" t="s">
        <v>125</v>
      </c>
      <c r="E69" s="8" t="s">
        <v>212</v>
      </c>
      <c r="F69" s="8" t="s">
        <v>501</v>
      </c>
      <c r="G69" s="8" t="s">
        <v>223</v>
      </c>
      <c r="H69" s="8" t="s">
        <v>110</v>
      </c>
      <c r="I69" s="8" t="s">
        <v>386</v>
      </c>
      <c r="J69" s="9" t="s">
        <v>424</v>
      </c>
      <c r="K69" s="10">
        <v>11</v>
      </c>
      <c r="L69" s="9">
        <v>14</v>
      </c>
      <c r="M69" s="9">
        <v>9</v>
      </c>
      <c r="N69" s="9"/>
      <c r="O69" s="9"/>
      <c r="P69" s="9"/>
      <c r="Q69" s="9"/>
      <c r="R69" s="9"/>
      <c r="S69" s="11">
        <f>IF(R69&lt;&gt;"",R69,ROUND((L69+M69+K69+IF(COUNT(N69:P69)&gt;0,AVERAGE(N69:P69),0))/(3+IF(COUNT(N69:P69)&gt;0,1,0)),1))</f>
        <v>11.3</v>
      </c>
      <c r="T69" s="7"/>
      <c r="U69" s="7"/>
      <c r="V69" s="7"/>
      <c r="W69" s="7"/>
      <c r="X69" s="7"/>
    </row>
    <row r="70" spans="1:24" ht="15.75" customHeight="1" x14ac:dyDescent="0.25">
      <c r="A70" s="8">
        <v>57</v>
      </c>
      <c r="B70" s="8" t="s">
        <v>390</v>
      </c>
      <c r="C70" s="8">
        <v>400000000</v>
      </c>
      <c r="D70" s="8" t="s">
        <v>21</v>
      </c>
      <c r="E70" s="8" t="s">
        <v>212</v>
      </c>
      <c r="F70" s="8" t="s">
        <v>72</v>
      </c>
      <c r="G70" s="8" t="s">
        <v>213</v>
      </c>
      <c r="H70" s="8" t="s">
        <v>42</v>
      </c>
      <c r="I70" s="8" t="s">
        <v>36</v>
      </c>
      <c r="J70" s="9" t="s">
        <v>112</v>
      </c>
      <c r="K70" s="10">
        <v>10</v>
      </c>
      <c r="L70" s="9">
        <v>14</v>
      </c>
      <c r="M70" s="9">
        <v>10</v>
      </c>
      <c r="N70" s="9">
        <v>11</v>
      </c>
      <c r="O70" s="9"/>
      <c r="P70" s="9"/>
      <c r="Q70" s="9">
        <v>16</v>
      </c>
      <c r="R70" s="9"/>
      <c r="S70" s="11">
        <f>IF(R70&lt;&gt;"",R70,ROUND((L70+M70+K70+IF(COUNT(N70:P70)&gt;0,AVERAGE(N70:P70),0))/(3+IF(COUNT(N70:P70)&gt;0,1,0)),1))</f>
        <v>11.3</v>
      </c>
      <c r="T70" s="7"/>
      <c r="U70" s="7"/>
      <c r="V70" s="7"/>
      <c r="W70" s="7"/>
      <c r="X70" s="7"/>
    </row>
    <row r="71" spans="1:24" ht="15.75" customHeight="1" x14ac:dyDescent="0.25">
      <c r="A71" s="8">
        <v>153</v>
      </c>
      <c r="B71" s="8" t="s">
        <v>643</v>
      </c>
      <c r="C71" s="8" t="s">
        <v>125</v>
      </c>
      <c r="D71" s="8" t="s">
        <v>125</v>
      </c>
      <c r="E71" s="8" t="s">
        <v>36</v>
      </c>
      <c r="F71" s="8" t="s">
        <v>644</v>
      </c>
      <c r="G71" s="8" t="s">
        <v>646</v>
      </c>
      <c r="H71" s="8" t="s">
        <v>42</v>
      </c>
      <c r="I71" s="8" t="s">
        <v>481</v>
      </c>
      <c r="J71" s="9" t="s">
        <v>373</v>
      </c>
      <c r="K71" s="10">
        <v>12</v>
      </c>
      <c r="L71" s="9">
        <v>15</v>
      </c>
      <c r="M71" s="9">
        <v>6</v>
      </c>
      <c r="N71" s="9"/>
      <c r="O71" s="9"/>
      <c r="P71" s="9"/>
      <c r="Q71" s="9"/>
      <c r="R71" s="9"/>
      <c r="S71" s="11">
        <f>IF(R71&lt;&gt;"",R71,ROUND((L71+M71+K71+IF(COUNT(N71:P71)&gt;0,AVERAGE(N71:P71),0))/(3+IF(COUNT(N71:P71)&gt;0,1,0)),1))</f>
        <v>11</v>
      </c>
      <c r="T71" s="7"/>
      <c r="U71" s="7"/>
      <c r="V71" s="7"/>
      <c r="W71" s="7"/>
      <c r="X71" s="7"/>
    </row>
    <row r="72" spans="1:24" ht="15.75" customHeight="1" x14ac:dyDescent="0.25">
      <c r="A72" s="8">
        <v>85</v>
      </c>
      <c r="B72" s="8" t="s">
        <v>490</v>
      </c>
      <c r="C72" s="8" t="s">
        <v>36</v>
      </c>
      <c r="D72" s="8" t="s">
        <v>24</v>
      </c>
      <c r="E72" s="8" t="s">
        <v>212</v>
      </c>
      <c r="F72" s="8" t="s">
        <v>151</v>
      </c>
      <c r="G72" s="8" t="s">
        <v>491</v>
      </c>
      <c r="H72" s="8" t="s">
        <v>36</v>
      </c>
      <c r="I72" s="8" t="s">
        <v>36</v>
      </c>
      <c r="J72" s="9" t="s">
        <v>112</v>
      </c>
      <c r="K72" s="10">
        <v>10</v>
      </c>
      <c r="L72" s="9">
        <v>15</v>
      </c>
      <c r="M72" s="9">
        <v>11</v>
      </c>
      <c r="N72" s="9"/>
      <c r="O72" s="9"/>
      <c r="P72" s="9">
        <v>8</v>
      </c>
      <c r="Q72" s="9"/>
      <c r="R72" s="9"/>
      <c r="S72" s="11">
        <f>IF(R72&lt;&gt;"",R72,ROUND((L72+M72+K72+IF(COUNT(N72:P72)&gt;0,AVERAGE(N72:P72),0))/(3+IF(COUNT(N72:P72)&gt;0,1,0)),1))</f>
        <v>11</v>
      </c>
      <c r="T72" s="7"/>
      <c r="U72" s="7"/>
      <c r="V72" s="7"/>
      <c r="W72" s="7"/>
      <c r="X72" s="7"/>
    </row>
    <row r="73" spans="1:24" ht="15.75" customHeight="1" x14ac:dyDescent="0.25">
      <c r="A73" s="8">
        <v>191</v>
      </c>
      <c r="B73" s="8" t="s">
        <v>633</v>
      </c>
      <c r="C73" s="8" t="s">
        <v>36</v>
      </c>
      <c r="D73" s="8" t="s">
        <v>125</v>
      </c>
      <c r="E73" s="8" t="s">
        <v>212</v>
      </c>
      <c r="F73" s="8" t="s">
        <v>636</v>
      </c>
      <c r="G73" s="8" t="s">
        <v>190</v>
      </c>
      <c r="H73" s="8" t="s">
        <v>42</v>
      </c>
      <c r="I73" s="8" t="s">
        <v>192</v>
      </c>
      <c r="J73" s="9" t="s">
        <v>112</v>
      </c>
      <c r="K73" s="10">
        <v>10</v>
      </c>
      <c r="L73" s="9">
        <v>14</v>
      </c>
      <c r="M73" s="9">
        <v>9</v>
      </c>
      <c r="N73" s="9"/>
      <c r="O73" s="9"/>
      <c r="P73" s="9"/>
      <c r="Q73" s="9"/>
      <c r="R73" s="9"/>
      <c r="S73" s="11">
        <f>IF(R73&lt;&gt;"",R73,ROUND((L73+M73+K73+IF(COUNT(N73:P73)&gt;0,AVERAGE(N73:P73),0))/(3+IF(COUNT(N73:P73)&gt;0,1,0)),1))</f>
        <v>11</v>
      </c>
      <c r="T73" s="7"/>
      <c r="U73" s="7"/>
      <c r="V73" s="7"/>
      <c r="W73" s="7"/>
      <c r="X73" s="7"/>
    </row>
    <row r="74" spans="1:24" ht="15.75" customHeight="1" x14ac:dyDescent="0.25">
      <c r="A74" s="8">
        <v>105</v>
      </c>
      <c r="B74" s="8" t="s">
        <v>623</v>
      </c>
      <c r="C74" s="8" t="s">
        <v>36</v>
      </c>
      <c r="D74" s="8" t="s">
        <v>21</v>
      </c>
      <c r="E74" s="8" t="s">
        <v>212</v>
      </c>
      <c r="F74" s="8" t="s">
        <v>409</v>
      </c>
      <c r="G74" s="8" t="s">
        <v>410</v>
      </c>
      <c r="H74" s="8" t="s">
        <v>42</v>
      </c>
      <c r="I74" s="8" t="s">
        <v>36</v>
      </c>
      <c r="J74" s="9" t="s">
        <v>112</v>
      </c>
      <c r="K74" s="10">
        <v>10</v>
      </c>
      <c r="L74" s="9">
        <v>14</v>
      </c>
      <c r="M74" s="9">
        <v>10</v>
      </c>
      <c r="N74" s="9">
        <v>10</v>
      </c>
      <c r="O74" s="9"/>
      <c r="P74" s="9"/>
      <c r="Q74" s="9"/>
      <c r="R74" s="9"/>
      <c r="S74" s="11">
        <f>IF(R74&lt;&gt;"",R74,ROUND((L74+M74+K74+IF(COUNT(N74:P74)&gt;0,AVERAGE(N74:P74),0))/(3+IF(COUNT(N74:P74)&gt;0,1,0)),1))</f>
        <v>11</v>
      </c>
      <c r="T74" s="7"/>
      <c r="U74" s="7"/>
      <c r="V74" s="7"/>
      <c r="W74" s="7"/>
      <c r="X74" s="7"/>
    </row>
    <row r="75" spans="1:24" ht="15.75" customHeight="1" x14ac:dyDescent="0.25">
      <c r="A75" s="8">
        <v>56</v>
      </c>
      <c r="B75" s="8" t="s">
        <v>388</v>
      </c>
      <c r="C75" s="8">
        <v>290000000</v>
      </c>
      <c r="D75" s="8" t="s">
        <v>21</v>
      </c>
      <c r="E75" s="8" t="s">
        <v>212</v>
      </c>
      <c r="F75" s="8" t="s">
        <v>72</v>
      </c>
      <c r="G75" s="8" t="s">
        <v>213</v>
      </c>
      <c r="H75" s="8" t="s">
        <v>42</v>
      </c>
      <c r="I75" s="8" t="s">
        <v>36</v>
      </c>
      <c r="J75" s="9" t="s">
        <v>112</v>
      </c>
      <c r="K75" s="10">
        <v>10</v>
      </c>
      <c r="L75" s="9">
        <v>13</v>
      </c>
      <c r="M75" s="9">
        <v>10</v>
      </c>
      <c r="N75" s="9">
        <v>11</v>
      </c>
      <c r="O75" s="9"/>
      <c r="P75" s="9"/>
      <c r="Q75" s="9">
        <v>16</v>
      </c>
      <c r="R75" s="9"/>
      <c r="S75" s="11">
        <f>IF(R75&lt;&gt;"",R75,ROUND((L75+M75+K75+IF(COUNT(N75:P75)&gt;0,AVERAGE(N75:P75),0))/(3+IF(COUNT(N75:P75)&gt;0,1,0)),1))</f>
        <v>11</v>
      </c>
      <c r="T75" s="7"/>
      <c r="U75" s="7"/>
      <c r="V75" s="7"/>
      <c r="W75" s="7"/>
      <c r="X75" s="7"/>
    </row>
    <row r="76" spans="1:24" ht="15.75" customHeight="1" x14ac:dyDescent="0.25">
      <c r="A76" s="8">
        <v>66</v>
      </c>
      <c r="B76" s="8" t="s">
        <v>434</v>
      </c>
      <c r="C76" s="8">
        <v>222000000</v>
      </c>
      <c r="D76" s="8" t="s">
        <v>21</v>
      </c>
      <c r="E76" s="8" t="s">
        <v>212</v>
      </c>
      <c r="F76" s="8" t="s">
        <v>151</v>
      </c>
      <c r="G76" s="8" t="s">
        <v>491</v>
      </c>
      <c r="H76" s="8" t="s">
        <v>42</v>
      </c>
      <c r="I76" s="8" t="s">
        <v>36</v>
      </c>
      <c r="J76" s="9" t="s">
        <v>112</v>
      </c>
      <c r="K76" s="10">
        <v>10</v>
      </c>
      <c r="L76" s="9">
        <v>11</v>
      </c>
      <c r="M76" s="9">
        <v>10</v>
      </c>
      <c r="N76" s="9">
        <v>13</v>
      </c>
      <c r="O76" s="9"/>
      <c r="P76" s="9"/>
      <c r="Q76" s="9"/>
      <c r="R76" s="9"/>
      <c r="S76" s="11">
        <f>IF(R76&lt;&gt;"",R76,ROUND((L76+M76+K76+IF(COUNT(N76:P76)&gt;0,AVERAGE(N76:P76),0))/(3+IF(COUNT(N76:P76)&gt;0,1,0)),1))</f>
        <v>11</v>
      </c>
      <c r="T76" s="7"/>
      <c r="U76" s="7"/>
      <c r="V76" s="7"/>
      <c r="W76" s="7"/>
      <c r="X76" s="7"/>
    </row>
    <row r="77" spans="1:24" ht="15.75" customHeight="1" x14ac:dyDescent="0.25">
      <c r="A77" s="8">
        <v>44</v>
      </c>
      <c r="B77" s="8" t="s">
        <v>333</v>
      </c>
      <c r="C77" s="8" t="s">
        <v>36</v>
      </c>
      <c r="D77" s="8" t="s">
        <v>24</v>
      </c>
      <c r="E77" s="8" t="s">
        <v>36</v>
      </c>
      <c r="F77" s="8" t="s">
        <v>332</v>
      </c>
      <c r="G77" s="8" t="s">
        <v>188</v>
      </c>
      <c r="H77" s="8" t="s">
        <v>42</v>
      </c>
      <c r="I77" s="8" t="s">
        <v>36</v>
      </c>
      <c r="J77" s="9" t="s">
        <v>180</v>
      </c>
      <c r="K77" s="10">
        <v>15</v>
      </c>
      <c r="L77" s="9">
        <v>17</v>
      </c>
      <c r="M77" s="9"/>
      <c r="N77" s="9"/>
      <c r="O77" s="9"/>
      <c r="P77" s="9"/>
      <c r="Q77" s="9">
        <v>12</v>
      </c>
      <c r="R77" s="9"/>
      <c r="S77" s="11">
        <f>IF(R77&lt;&gt;"",R77,ROUND((L77+M77+K77+IF(COUNT(N77:P77)&gt;0,AVERAGE(N77:P77),0))/(3+IF(COUNT(N77:P77)&gt;0,1,0)),1))</f>
        <v>10.7</v>
      </c>
      <c r="T77" s="7"/>
      <c r="U77" s="7"/>
      <c r="V77" s="7"/>
      <c r="W77" s="7"/>
      <c r="X77" s="7"/>
    </row>
    <row r="78" spans="1:24" ht="15.75" customHeight="1" x14ac:dyDescent="0.25">
      <c r="A78" s="8">
        <v>84</v>
      </c>
      <c r="B78" s="8" t="s">
        <v>540</v>
      </c>
      <c r="C78" s="8">
        <v>500000000</v>
      </c>
      <c r="D78" s="8" t="s">
        <v>125</v>
      </c>
      <c r="E78" s="8" t="s">
        <v>212</v>
      </c>
      <c r="F78" s="8" t="s">
        <v>151</v>
      </c>
      <c r="G78" s="8" t="s">
        <v>152</v>
      </c>
      <c r="H78" s="8" t="s">
        <v>42</v>
      </c>
      <c r="I78" s="8" t="s">
        <v>36</v>
      </c>
      <c r="J78" s="9" t="s">
        <v>112</v>
      </c>
      <c r="K78" s="10">
        <v>10</v>
      </c>
      <c r="L78" s="9">
        <v>12</v>
      </c>
      <c r="M78" s="9">
        <v>10</v>
      </c>
      <c r="N78" s="9"/>
      <c r="O78" s="9"/>
      <c r="P78" s="9"/>
      <c r="Q78" s="9"/>
      <c r="R78" s="9"/>
      <c r="S78" s="11">
        <f>IF(R78&lt;&gt;"",R78,ROUND((L78+M78+K78+IF(COUNT(N78:P78)&gt;0,AVERAGE(N78:P78),0))/(3+IF(COUNT(N78:P78)&gt;0,1,0)),1))</f>
        <v>10.7</v>
      </c>
      <c r="T78" s="7"/>
      <c r="U78" s="7"/>
      <c r="V78" s="7"/>
      <c r="W78" s="7"/>
      <c r="X78" s="7"/>
    </row>
    <row r="79" spans="1:24" ht="15.75" customHeight="1" x14ac:dyDescent="0.25">
      <c r="A79" s="8">
        <v>35</v>
      </c>
      <c r="B79" s="8" t="s">
        <v>254</v>
      </c>
      <c r="C79" s="15" t="s">
        <v>36</v>
      </c>
      <c r="D79" s="8" t="s">
        <v>22</v>
      </c>
      <c r="E79" s="8" t="s">
        <v>36</v>
      </c>
      <c r="F79" s="13" t="s">
        <v>108</v>
      </c>
      <c r="G79" s="8" t="s">
        <v>658</v>
      </c>
      <c r="H79" s="8" t="s">
        <v>110</v>
      </c>
      <c r="I79" s="8" t="s">
        <v>36</v>
      </c>
      <c r="J79" s="9" t="s">
        <v>112</v>
      </c>
      <c r="K79" s="10">
        <v>10</v>
      </c>
      <c r="L79" s="9">
        <v>12</v>
      </c>
      <c r="M79" s="9">
        <v>10</v>
      </c>
      <c r="N79" s="9"/>
      <c r="O79" s="9"/>
      <c r="P79" s="9"/>
      <c r="Q79" s="9">
        <v>18</v>
      </c>
      <c r="R79" s="9"/>
      <c r="S79" s="11">
        <f>IF(R79&lt;&gt;"",R79,ROUND((L79+M79+K79+IF(COUNT(N79:P79)&gt;0,AVERAGE(N79:P79),0))/(3+IF(COUNT(N79:P79)&gt;0,1,0)),1))</f>
        <v>10.7</v>
      </c>
      <c r="T79" s="7"/>
      <c r="U79" s="7"/>
      <c r="V79" s="7"/>
      <c r="W79" s="7"/>
      <c r="X79" s="7"/>
    </row>
    <row r="80" spans="1:24" ht="30" customHeight="1" x14ac:dyDescent="0.25">
      <c r="A80" s="8">
        <v>37</v>
      </c>
      <c r="B80" s="8" t="s">
        <v>293</v>
      </c>
      <c r="C80" s="8">
        <v>23000000</v>
      </c>
      <c r="D80" s="8" t="s">
        <v>24</v>
      </c>
      <c r="E80" s="8" t="s">
        <v>36</v>
      </c>
      <c r="F80" s="8" t="s">
        <v>332</v>
      </c>
      <c r="G80" s="8" t="s">
        <v>188</v>
      </c>
      <c r="H80" s="8" t="s">
        <v>42</v>
      </c>
      <c r="I80" s="8" t="s">
        <v>36</v>
      </c>
      <c r="J80" s="9" t="s">
        <v>112</v>
      </c>
      <c r="K80" s="10">
        <v>10</v>
      </c>
      <c r="L80" s="9">
        <v>16</v>
      </c>
      <c r="M80" s="9">
        <v>6</v>
      </c>
      <c r="N80" s="9"/>
      <c r="O80" s="9"/>
      <c r="P80" s="9">
        <v>9</v>
      </c>
      <c r="Q80" s="9">
        <v>12</v>
      </c>
      <c r="R80" s="9"/>
      <c r="S80" s="11">
        <f>IF(R80&lt;&gt;"",R80,ROUND((L80+M80+K80+IF(COUNT(N80:P80)&gt;0,AVERAGE(N80:P80),0))/(3+IF(COUNT(N80:P80)&gt;0,1,0)),1))</f>
        <v>10.3</v>
      </c>
      <c r="T80" s="7"/>
      <c r="U80" s="7"/>
      <c r="V80" s="7"/>
      <c r="W80" s="7"/>
      <c r="X80" s="7"/>
    </row>
    <row r="81" spans="1:24" ht="15.75" customHeight="1" x14ac:dyDescent="0.25">
      <c r="A81" s="8">
        <v>161</v>
      </c>
      <c r="B81" s="8" t="s">
        <v>688</v>
      </c>
      <c r="C81" s="8" t="s">
        <v>125</v>
      </c>
      <c r="D81" s="8" t="s">
        <v>125</v>
      </c>
      <c r="E81" s="8" t="s">
        <v>212</v>
      </c>
      <c r="F81" s="8" t="s">
        <v>514</v>
      </c>
      <c r="G81" s="8" t="s">
        <v>223</v>
      </c>
      <c r="H81" s="8" t="s">
        <v>42</v>
      </c>
      <c r="I81" s="8" t="s">
        <v>514</v>
      </c>
      <c r="J81" s="9" t="s">
        <v>112</v>
      </c>
      <c r="K81" s="10">
        <v>10</v>
      </c>
      <c r="L81" s="9">
        <v>15</v>
      </c>
      <c r="M81" s="9">
        <v>6</v>
      </c>
      <c r="N81" s="9"/>
      <c r="O81" s="9"/>
      <c r="P81" s="9"/>
      <c r="Q81" s="9"/>
      <c r="R81" s="9"/>
      <c r="S81" s="11">
        <f>IF(R81&lt;&gt;"",R81,ROUND((L81+M81+K81+IF(COUNT(N81:P81)&gt;0,AVERAGE(N81:P81),0))/(3+IF(COUNT(N81:P81)&gt;0,1,0)),1))</f>
        <v>10.3</v>
      </c>
      <c r="T81" s="7"/>
      <c r="U81" s="7"/>
      <c r="V81" s="7"/>
      <c r="W81" s="7"/>
      <c r="X81" s="7"/>
    </row>
    <row r="82" spans="1:24" ht="15.75" customHeight="1" x14ac:dyDescent="0.25">
      <c r="A82" s="8">
        <v>164</v>
      </c>
      <c r="B82" s="8" t="s">
        <v>678</v>
      </c>
      <c r="C82" s="8">
        <v>99000000</v>
      </c>
      <c r="D82" s="8" t="s">
        <v>24</v>
      </c>
      <c r="E82" s="8" t="s">
        <v>212</v>
      </c>
      <c r="F82" s="8" t="s">
        <v>415</v>
      </c>
      <c r="G82" s="8" t="s">
        <v>265</v>
      </c>
      <c r="H82" s="8" t="s">
        <v>42</v>
      </c>
      <c r="I82" s="8" t="s">
        <v>36</v>
      </c>
      <c r="J82" s="9" t="s">
        <v>112</v>
      </c>
      <c r="K82" s="10">
        <v>10</v>
      </c>
      <c r="L82" s="9">
        <v>14</v>
      </c>
      <c r="M82" s="9">
        <v>8</v>
      </c>
      <c r="N82" s="9"/>
      <c r="O82" s="9"/>
      <c r="P82" s="9">
        <v>9</v>
      </c>
      <c r="Q82" s="9">
        <v>9</v>
      </c>
      <c r="R82" s="9"/>
      <c r="S82" s="11">
        <f>IF(R82&lt;&gt;"",R82,ROUND((L82+M82+K82+IF(COUNT(N82:P82)&gt;0,AVERAGE(N82:P82),0))/(3+IF(COUNT(N82:P82)&gt;0,1,0)),1))</f>
        <v>10.3</v>
      </c>
      <c r="T82" s="7"/>
      <c r="U82" s="7"/>
      <c r="V82" s="7"/>
      <c r="W82" s="7"/>
      <c r="X82" s="7"/>
    </row>
    <row r="83" spans="1:24" ht="15.75" customHeight="1" x14ac:dyDescent="0.25">
      <c r="A83" s="8">
        <v>87</v>
      </c>
      <c r="B83" s="8" t="s">
        <v>554</v>
      </c>
      <c r="C83" s="8">
        <v>500000000</v>
      </c>
      <c r="D83" s="8" t="s">
        <v>125</v>
      </c>
      <c r="E83" s="8" t="s">
        <v>212</v>
      </c>
      <c r="F83" s="8" t="s">
        <v>151</v>
      </c>
      <c r="G83" s="8" t="s">
        <v>188</v>
      </c>
      <c r="H83" s="8" t="s">
        <v>42</v>
      </c>
      <c r="I83" s="8" t="s">
        <v>36</v>
      </c>
      <c r="J83" s="9" t="s">
        <v>112</v>
      </c>
      <c r="K83" s="10">
        <v>10</v>
      </c>
      <c r="L83" s="9">
        <v>11</v>
      </c>
      <c r="M83" s="9">
        <v>10</v>
      </c>
      <c r="N83" s="9"/>
      <c r="O83" s="9"/>
      <c r="P83" s="9"/>
      <c r="Q83" s="9"/>
      <c r="R83" s="9"/>
      <c r="S83" s="11">
        <f>IF(R83&lt;&gt;"",R83,ROUND((L83+M83+K83+IF(COUNT(N83:P83)&gt;0,AVERAGE(N83:P83),0))/(3+IF(COUNT(N83:P83)&gt;0,1,0)),1))</f>
        <v>10.3</v>
      </c>
      <c r="T83" s="7"/>
      <c r="U83" s="7"/>
      <c r="V83" s="7"/>
      <c r="W83" s="7"/>
      <c r="X83" s="7"/>
    </row>
    <row r="84" spans="1:24" ht="15.75" customHeight="1" x14ac:dyDescent="0.25">
      <c r="A84" s="8">
        <v>49</v>
      </c>
      <c r="B84" s="8" t="s">
        <v>355</v>
      </c>
      <c r="C84" s="8">
        <v>700000000</v>
      </c>
      <c r="D84" s="8" t="s">
        <v>24</v>
      </c>
      <c r="E84" s="8" t="s">
        <v>212</v>
      </c>
      <c r="F84" s="13" t="s">
        <v>90</v>
      </c>
      <c r="G84" s="8" t="s">
        <v>297</v>
      </c>
      <c r="H84" s="8" t="s">
        <v>42</v>
      </c>
      <c r="I84" s="8" t="s">
        <v>299</v>
      </c>
      <c r="J84" s="9" t="s">
        <v>112</v>
      </c>
      <c r="K84" s="10">
        <v>10</v>
      </c>
      <c r="L84" s="9">
        <v>11</v>
      </c>
      <c r="M84" s="9">
        <v>10</v>
      </c>
      <c r="N84" s="9"/>
      <c r="O84" s="9"/>
      <c r="P84" s="9">
        <v>10</v>
      </c>
      <c r="Q84" s="9">
        <v>16</v>
      </c>
      <c r="R84" s="9"/>
      <c r="S84" s="11">
        <f>IF(R84&lt;&gt;"",R84,ROUND((L84+M84+K84+IF(COUNT(N84:P84)&gt;0,AVERAGE(N84:P84),0))/(3+IF(COUNT(N84:P84)&gt;0,1,0)),1))</f>
        <v>10.3</v>
      </c>
      <c r="T84" s="7"/>
      <c r="U84" s="7"/>
      <c r="V84" s="7"/>
      <c r="W84" s="7"/>
      <c r="X84" s="7"/>
    </row>
    <row r="85" spans="1:24" ht="15.75" customHeight="1" x14ac:dyDescent="0.25">
      <c r="A85" s="8">
        <v>34</v>
      </c>
      <c r="B85" s="8" t="s">
        <v>281</v>
      </c>
      <c r="C85" s="8">
        <v>510000000</v>
      </c>
      <c r="D85" s="8" t="s">
        <v>125</v>
      </c>
      <c r="E85" s="8" t="s">
        <v>212</v>
      </c>
      <c r="F85" s="13" t="s">
        <v>108</v>
      </c>
      <c r="G85" s="8" t="s">
        <v>672</v>
      </c>
      <c r="H85" s="8" t="s">
        <v>110</v>
      </c>
      <c r="I85" s="8" t="s">
        <v>192</v>
      </c>
      <c r="J85" s="9" t="s">
        <v>112</v>
      </c>
      <c r="K85" s="10">
        <v>10</v>
      </c>
      <c r="L85" s="9">
        <v>11</v>
      </c>
      <c r="M85" s="9">
        <v>10</v>
      </c>
      <c r="N85" s="9"/>
      <c r="O85" s="9"/>
      <c r="P85" s="9"/>
      <c r="Q85" s="9">
        <v>18</v>
      </c>
      <c r="R85" s="9"/>
      <c r="S85" s="11">
        <f>IF(R85&lt;&gt;"",R85,ROUND((L85+M85+K85+IF(COUNT(N85:P85)&gt;0,AVERAGE(N85:P85),0))/(3+IF(COUNT(N85:P85)&gt;0,1,0)),1))</f>
        <v>10.3</v>
      </c>
      <c r="T85" s="7"/>
      <c r="U85" s="7"/>
      <c r="V85" s="7"/>
      <c r="W85" s="7"/>
      <c r="X85" s="7"/>
    </row>
    <row r="86" spans="1:24" ht="15.75" customHeight="1" x14ac:dyDescent="0.25">
      <c r="A86" s="8">
        <v>186</v>
      </c>
      <c r="B86" s="8" t="s">
        <v>699</v>
      </c>
      <c r="C86" s="8" t="s">
        <v>36</v>
      </c>
      <c r="D86" s="8" t="s">
        <v>21</v>
      </c>
      <c r="E86" s="8" t="s">
        <v>559</v>
      </c>
      <c r="F86" s="8" t="s">
        <v>189</v>
      </c>
      <c r="G86" s="8" t="s">
        <v>702</v>
      </c>
      <c r="H86" s="8" t="s">
        <v>42</v>
      </c>
      <c r="I86" s="8" t="s">
        <v>192</v>
      </c>
      <c r="J86" s="9" t="s">
        <v>112</v>
      </c>
      <c r="K86" s="10">
        <v>10</v>
      </c>
      <c r="L86" s="9">
        <v>10</v>
      </c>
      <c r="M86" s="9">
        <v>5</v>
      </c>
      <c r="N86" s="9">
        <v>16</v>
      </c>
      <c r="O86" s="9"/>
      <c r="P86" s="9"/>
      <c r="Q86" s="9"/>
      <c r="R86" s="9"/>
      <c r="S86" s="11">
        <f>IF(R86&lt;&gt;"",R86,ROUND((L86+M86+K86+IF(COUNT(N86:P86)&gt;0,AVERAGE(N86:P86),0))/(3+IF(COUNT(N86:P86)&gt;0,1,0)),1))</f>
        <v>10.3</v>
      </c>
      <c r="T86" s="7"/>
      <c r="U86" s="7"/>
      <c r="V86" s="7"/>
      <c r="W86" s="7"/>
      <c r="X86" s="7"/>
    </row>
    <row r="87" spans="1:24" ht="15.75" customHeight="1" x14ac:dyDescent="0.25">
      <c r="A87" s="8">
        <v>86</v>
      </c>
      <c r="B87" s="8" t="s">
        <v>547</v>
      </c>
      <c r="C87" s="8">
        <v>500000000</v>
      </c>
      <c r="D87" s="8" t="s">
        <v>125</v>
      </c>
      <c r="E87" s="8" t="s">
        <v>212</v>
      </c>
      <c r="F87" s="8" t="s">
        <v>151</v>
      </c>
      <c r="G87" s="8" t="s">
        <v>188</v>
      </c>
      <c r="H87" s="8" t="s">
        <v>42</v>
      </c>
      <c r="I87" s="8" t="s">
        <v>36</v>
      </c>
      <c r="J87" s="9" t="s">
        <v>112</v>
      </c>
      <c r="K87" s="10">
        <v>10</v>
      </c>
      <c r="L87" s="9">
        <v>15</v>
      </c>
      <c r="M87" s="9">
        <v>5</v>
      </c>
      <c r="N87" s="9"/>
      <c r="O87" s="9"/>
      <c r="P87" s="9"/>
      <c r="Q87" s="9"/>
      <c r="R87" s="9">
        <v>13</v>
      </c>
      <c r="S87" s="11">
        <f>IF(R87&lt;&gt;"",R87,ROUND((L87+M87+K87+IF(COUNT(N87:P87)&gt;0,AVERAGE(N87:P87),0))/(3+IF(COUNT(N87:P87)&gt;0,1,0)),1))</f>
        <v>13</v>
      </c>
      <c r="T87" s="7"/>
      <c r="U87" s="7"/>
      <c r="V87" s="7"/>
      <c r="W87" s="7"/>
      <c r="X87" s="7"/>
    </row>
    <row r="88" spans="1:24" ht="15.75" customHeight="1" x14ac:dyDescent="0.25">
      <c r="A88" s="8">
        <v>41</v>
      </c>
      <c r="B88" s="8" t="s">
        <v>314</v>
      </c>
      <c r="C88" s="8" t="s">
        <v>36</v>
      </c>
      <c r="D88" s="8" t="s">
        <v>21</v>
      </c>
      <c r="E88" s="8" t="s">
        <v>36</v>
      </c>
      <c r="F88" s="8" t="s">
        <v>332</v>
      </c>
      <c r="G88" s="8" t="s">
        <v>188</v>
      </c>
      <c r="H88" s="8" t="s">
        <v>42</v>
      </c>
      <c r="I88" s="8" t="s">
        <v>36</v>
      </c>
      <c r="J88" s="9" t="s">
        <v>112</v>
      </c>
      <c r="K88" s="10">
        <v>10</v>
      </c>
      <c r="L88" s="9">
        <v>10</v>
      </c>
      <c r="M88" s="9">
        <v>6</v>
      </c>
      <c r="N88" s="9">
        <v>14</v>
      </c>
      <c r="O88" s="9"/>
      <c r="P88" s="9"/>
      <c r="Q88" s="9">
        <v>12</v>
      </c>
      <c r="R88" s="9"/>
      <c r="S88" s="11">
        <f>IF(R88&lt;&gt;"",R88,ROUND((L88+M88+K88+IF(COUNT(N88:P88)&gt;0,AVERAGE(N88:P88),0))/(3+IF(COUNT(N88:P88)&gt;0,1,0)),1))</f>
        <v>10</v>
      </c>
      <c r="T88" s="7"/>
      <c r="U88" s="7"/>
      <c r="V88" s="7"/>
      <c r="W88" s="7"/>
      <c r="X88" s="7"/>
    </row>
    <row r="89" spans="1:24" ht="15.75" customHeight="1" x14ac:dyDescent="0.25">
      <c r="A89" s="8">
        <v>99</v>
      </c>
      <c r="B89" s="8" t="s">
        <v>603</v>
      </c>
      <c r="C89" s="15" t="s">
        <v>36</v>
      </c>
      <c r="D89" s="8" t="s">
        <v>24</v>
      </c>
      <c r="E89" s="8" t="s">
        <v>36</v>
      </c>
      <c r="F89" s="8" t="s">
        <v>301</v>
      </c>
      <c r="G89" s="8" t="s">
        <v>608</v>
      </c>
      <c r="H89" s="8" t="s">
        <v>42</v>
      </c>
      <c r="I89" s="8" t="s">
        <v>36</v>
      </c>
      <c r="J89" s="9" t="s">
        <v>112</v>
      </c>
      <c r="K89" s="10">
        <v>10</v>
      </c>
      <c r="L89" s="9">
        <v>15</v>
      </c>
      <c r="M89" s="9"/>
      <c r="N89" s="9"/>
      <c r="O89" s="9"/>
      <c r="P89" s="9">
        <v>14</v>
      </c>
      <c r="Q89" s="9"/>
      <c r="R89" s="9"/>
      <c r="S89" s="11">
        <f>IF(R89&lt;&gt;"",R89,ROUND((L89+M89+K89+IF(COUNT(N89:P89)&gt;0,AVERAGE(N89:P89),0))/(3+IF(COUNT(N89:P89)&gt;0,1,0)),1))</f>
        <v>9.8000000000000007</v>
      </c>
      <c r="T89" s="7"/>
      <c r="U89" s="7"/>
      <c r="V89" s="7"/>
      <c r="W89" s="7"/>
      <c r="X89" s="7"/>
    </row>
    <row r="90" spans="1:24" ht="15.75" customHeight="1" x14ac:dyDescent="0.25">
      <c r="A90" s="8">
        <v>108</v>
      </c>
      <c r="B90" s="8" t="s">
        <v>648</v>
      </c>
      <c r="C90" s="8" t="s">
        <v>36</v>
      </c>
      <c r="D90" s="8" t="s">
        <v>21</v>
      </c>
      <c r="E90" s="8" t="s">
        <v>212</v>
      </c>
      <c r="F90" s="8" t="s">
        <v>409</v>
      </c>
      <c r="G90" s="8" t="s">
        <v>410</v>
      </c>
      <c r="H90" s="8" t="s">
        <v>42</v>
      </c>
      <c r="I90" s="8" t="s">
        <v>36</v>
      </c>
      <c r="J90" s="9" t="s">
        <v>112</v>
      </c>
      <c r="K90" s="10">
        <v>10</v>
      </c>
      <c r="L90" s="9">
        <v>13</v>
      </c>
      <c r="M90" s="9">
        <v>7</v>
      </c>
      <c r="N90" s="9">
        <v>9</v>
      </c>
      <c r="O90" s="9"/>
      <c r="P90" s="9"/>
      <c r="Q90" s="9"/>
      <c r="R90" s="9"/>
      <c r="S90" s="11">
        <f>IF(R90&lt;&gt;"",R90,ROUND((L90+M90+K90+IF(COUNT(N90:P90)&gt;0,AVERAGE(N90:P90),0))/(3+IF(COUNT(N90:P90)&gt;0,1,0)),1))</f>
        <v>9.8000000000000007</v>
      </c>
      <c r="T90" s="7"/>
      <c r="U90" s="7"/>
      <c r="V90" s="7"/>
      <c r="W90" s="7"/>
      <c r="X90" s="7"/>
    </row>
    <row r="91" spans="1:24" ht="15.75" customHeight="1" x14ac:dyDescent="0.25">
      <c r="A91" s="8">
        <v>43</v>
      </c>
      <c r="B91" s="8" t="s">
        <v>325</v>
      </c>
      <c r="C91" s="8" t="s">
        <v>36</v>
      </c>
      <c r="D91" s="8" t="s">
        <v>24</v>
      </c>
      <c r="E91" s="8" t="s">
        <v>36</v>
      </c>
      <c r="F91" s="8" t="s">
        <v>332</v>
      </c>
      <c r="G91" s="8" t="s">
        <v>188</v>
      </c>
      <c r="H91" s="8" t="s">
        <v>42</v>
      </c>
      <c r="I91" s="8" t="s">
        <v>36</v>
      </c>
      <c r="J91" s="9" t="s">
        <v>112</v>
      </c>
      <c r="K91" s="10">
        <v>10</v>
      </c>
      <c r="L91" s="9">
        <v>14</v>
      </c>
      <c r="M91" s="9">
        <v>5</v>
      </c>
      <c r="N91" s="9"/>
      <c r="O91" s="9"/>
      <c r="P91" s="9"/>
      <c r="Q91" s="9">
        <v>12</v>
      </c>
      <c r="R91" s="9"/>
      <c r="S91" s="11">
        <f>IF(R91&lt;&gt;"",R91,ROUND((L91+M91+K91+IF(COUNT(N91:P91)&gt;0,AVERAGE(N91:P91),0))/(3+IF(COUNT(N91:P91)&gt;0,1,0)),1))</f>
        <v>9.6999999999999993</v>
      </c>
      <c r="T91" s="7"/>
      <c r="U91" s="7"/>
      <c r="V91" s="7"/>
      <c r="W91" s="7"/>
      <c r="X91" s="7"/>
    </row>
    <row r="92" spans="1:24" ht="30" customHeight="1" x14ac:dyDescent="0.25">
      <c r="A92" s="8">
        <v>82</v>
      </c>
      <c r="B92" s="8" t="s">
        <v>532</v>
      </c>
      <c r="C92" s="8">
        <v>100000000</v>
      </c>
      <c r="D92" s="8" t="s">
        <v>125</v>
      </c>
      <c r="E92" s="8" t="s">
        <v>212</v>
      </c>
      <c r="F92" s="8" t="s">
        <v>151</v>
      </c>
      <c r="G92" s="8" t="s">
        <v>188</v>
      </c>
      <c r="H92" s="8" t="s">
        <v>42</v>
      </c>
      <c r="I92" s="8" t="s">
        <v>129</v>
      </c>
      <c r="J92" s="9" t="s">
        <v>112</v>
      </c>
      <c r="K92" s="10">
        <v>10</v>
      </c>
      <c r="L92" s="9">
        <v>9</v>
      </c>
      <c r="M92" s="9">
        <v>10</v>
      </c>
      <c r="N92" s="9"/>
      <c r="O92" s="9"/>
      <c r="P92" s="9"/>
      <c r="Q92" s="9"/>
      <c r="R92" s="9"/>
      <c r="S92" s="11">
        <f>IF(R92&lt;&gt;"",R92,ROUND((L92+M92+K92+IF(COUNT(N92:P92)&gt;0,AVERAGE(N92:P92),0))/(3+IF(COUNT(N92:P92)&gt;0,1,0)),1))</f>
        <v>9.6999999999999993</v>
      </c>
      <c r="T92" s="7"/>
      <c r="U92" s="7"/>
      <c r="V92" s="7"/>
      <c r="W92" s="7"/>
      <c r="X92" s="7"/>
    </row>
    <row r="93" spans="1:24" ht="15.75" customHeight="1" x14ac:dyDescent="0.25">
      <c r="A93" s="8">
        <v>98</v>
      </c>
      <c r="B93" s="8" t="s">
        <v>753</v>
      </c>
      <c r="C93" s="8">
        <v>85000000</v>
      </c>
      <c r="D93" s="8" t="s">
        <v>24</v>
      </c>
      <c r="E93" s="8" t="s">
        <v>36</v>
      </c>
      <c r="F93" s="8" t="s">
        <v>225</v>
      </c>
      <c r="G93" s="8" t="s">
        <v>758</v>
      </c>
      <c r="H93" s="8" t="s">
        <v>36</v>
      </c>
      <c r="I93" s="8" t="s">
        <v>36</v>
      </c>
      <c r="J93" s="9" t="s">
        <v>112</v>
      </c>
      <c r="K93" s="10">
        <v>10</v>
      </c>
      <c r="L93" s="9">
        <v>14</v>
      </c>
      <c r="M93" s="9">
        <v>5</v>
      </c>
      <c r="N93" s="9"/>
      <c r="O93" s="9"/>
      <c r="P93" s="9">
        <v>9</v>
      </c>
      <c r="Q93" s="9">
        <v>12</v>
      </c>
      <c r="R93" s="9"/>
      <c r="S93" s="11">
        <f>IF(R93&lt;&gt;"",R93,ROUND((L93+M93+K93+IF(COUNT(N93:P93)&gt;0,AVERAGE(N93:P93),0))/(3+IF(COUNT(N93:P93)&gt;0,1,0)),1))</f>
        <v>9.5</v>
      </c>
      <c r="T93" s="7"/>
      <c r="U93" s="7"/>
      <c r="V93" s="7"/>
      <c r="W93" s="7"/>
      <c r="X93" s="7"/>
    </row>
    <row r="94" spans="1:24" ht="15.75" customHeight="1" x14ac:dyDescent="0.25">
      <c r="A94" s="8">
        <v>182</v>
      </c>
      <c r="B94" s="8" t="s">
        <v>802</v>
      </c>
      <c r="C94" s="8" t="s">
        <v>36</v>
      </c>
      <c r="D94" s="8" t="s">
        <v>125</v>
      </c>
      <c r="E94" s="8" t="s">
        <v>36</v>
      </c>
      <c r="F94" s="8" t="s">
        <v>766</v>
      </c>
      <c r="G94" s="8" t="s">
        <v>179</v>
      </c>
      <c r="H94" s="8" t="s">
        <v>42</v>
      </c>
      <c r="I94" s="8" t="s">
        <v>382</v>
      </c>
      <c r="J94" s="9" t="s">
        <v>70</v>
      </c>
      <c r="K94" s="10">
        <v>13</v>
      </c>
      <c r="L94" s="9">
        <v>15</v>
      </c>
      <c r="M94" s="9"/>
      <c r="N94" s="9"/>
      <c r="O94" s="9"/>
      <c r="P94" s="9"/>
      <c r="Q94" s="9"/>
      <c r="R94" s="9"/>
      <c r="S94" s="11">
        <f>IF(R94&lt;&gt;"",R94,ROUND((L94+M94+K94+IF(COUNT(N94:P94)&gt;0,AVERAGE(N94:P94),0))/(3+IF(COUNT(N94:P94)&gt;0,1,0)),1))</f>
        <v>9.3000000000000007</v>
      </c>
      <c r="T94" s="7"/>
      <c r="U94" s="7"/>
      <c r="V94" s="7"/>
      <c r="W94" s="7"/>
      <c r="X94" s="7"/>
    </row>
    <row r="95" spans="1:24" ht="15.75" customHeight="1" x14ac:dyDescent="0.25">
      <c r="A95" s="8">
        <v>180</v>
      </c>
      <c r="B95" s="8" t="s">
        <v>765</v>
      </c>
      <c r="C95" s="8" t="s">
        <v>36</v>
      </c>
      <c r="D95" s="8" t="s">
        <v>125</v>
      </c>
      <c r="E95" s="8" t="s">
        <v>36</v>
      </c>
      <c r="F95" s="8" t="s">
        <v>766</v>
      </c>
      <c r="G95" s="8" t="s">
        <v>646</v>
      </c>
      <c r="H95" s="8" t="s">
        <v>42</v>
      </c>
      <c r="I95" s="8" t="s">
        <v>382</v>
      </c>
      <c r="J95" s="9" t="s">
        <v>70</v>
      </c>
      <c r="K95" s="10">
        <v>13</v>
      </c>
      <c r="L95" s="9">
        <v>15</v>
      </c>
      <c r="M95" s="9"/>
      <c r="N95" s="9"/>
      <c r="O95" s="9"/>
      <c r="P95" s="9"/>
      <c r="Q95" s="9"/>
      <c r="R95" s="9"/>
      <c r="S95" s="11">
        <f>IF(R95&lt;&gt;"",R95,ROUND((L95+M95+K95+IF(COUNT(N95:P95)&gt;0,AVERAGE(N95:P95),0))/(3+IF(COUNT(N95:P95)&gt;0,1,0)),1))</f>
        <v>9.3000000000000007</v>
      </c>
      <c r="T95" s="7"/>
      <c r="U95" s="7"/>
      <c r="V95" s="7"/>
      <c r="W95" s="7"/>
      <c r="X95" s="7"/>
    </row>
    <row r="96" spans="1:24" ht="15.75" customHeight="1" x14ac:dyDescent="0.25">
      <c r="A96" s="8">
        <v>183</v>
      </c>
      <c r="B96" s="8" t="s">
        <v>808</v>
      </c>
      <c r="C96" s="8" t="s">
        <v>36</v>
      </c>
      <c r="D96" s="8" t="s">
        <v>125</v>
      </c>
      <c r="E96" s="8" t="s">
        <v>36</v>
      </c>
      <c r="F96" s="8" t="s">
        <v>766</v>
      </c>
      <c r="G96" s="8" t="s">
        <v>179</v>
      </c>
      <c r="H96" s="8" t="s">
        <v>42</v>
      </c>
      <c r="I96" s="8" t="s">
        <v>382</v>
      </c>
      <c r="J96" s="9" t="s">
        <v>70</v>
      </c>
      <c r="K96" s="10">
        <v>13</v>
      </c>
      <c r="L96" s="9">
        <v>15</v>
      </c>
      <c r="M96" s="9"/>
      <c r="N96" s="9"/>
      <c r="O96" s="9"/>
      <c r="P96" s="9"/>
      <c r="Q96" s="9"/>
      <c r="R96" s="9"/>
      <c r="S96" s="11">
        <f>IF(R96&lt;&gt;"",R96,ROUND((L96+M96+K96+IF(COUNT(N96:P96)&gt;0,AVERAGE(N96:P96),0))/(3+IF(COUNT(N96:P96)&gt;0,1,0)),1))</f>
        <v>9.3000000000000007</v>
      </c>
      <c r="T96" s="7"/>
      <c r="U96" s="7"/>
      <c r="V96" s="7"/>
      <c r="W96" s="7"/>
      <c r="X96" s="7"/>
    </row>
    <row r="97" spans="1:24" ht="15.75" customHeight="1" x14ac:dyDescent="0.25">
      <c r="A97" s="8">
        <v>181</v>
      </c>
      <c r="B97" s="8" t="s">
        <v>824</v>
      </c>
      <c r="C97" s="8" t="s">
        <v>36</v>
      </c>
      <c r="D97" s="8" t="s">
        <v>125</v>
      </c>
      <c r="E97" s="8" t="s">
        <v>36</v>
      </c>
      <c r="F97" s="8" t="s">
        <v>766</v>
      </c>
      <c r="G97" s="8" t="s">
        <v>732</v>
      </c>
      <c r="H97" s="8" t="s">
        <v>42</v>
      </c>
      <c r="I97" s="8" t="s">
        <v>382</v>
      </c>
      <c r="J97" s="9" t="s">
        <v>70</v>
      </c>
      <c r="K97" s="10">
        <v>13</v>
      </c>
      <c r="L97" s="9">
        <v>15</v>
      </c>
      <c r="M97" s="9"/>
      <c r="N97" s="9"/>
      <c r="O97" s="9"/>
      <c r="P97" s="9"/>
      <c r="Q97" s="9"/>
      <c r="R97" s="9"/>
      <c r="S97" s="11">
        <f>IF(R97&lt;&gt;"",R97,ROUND((L97+M97+K97+IF(COUNT(N97:P97)&gt;0,AVERAGE(N97:P97),0))/(3+IF(COUNT(N97:P97)&gt;0,1,0)),1))</f>
        <v>9.3000000000000007</v>
      </c>
      <c r="T97" s="7"/>
      <c r="U97" s="7"/>
      <c r="V97" s="7"/>
      <c r="W97" s="7"/>
      <c r="X97" s="7"/>
    </row>
    <row r="98" spans="1:24" ht="15.75" customHeight="1" x14ac:dyDescent="0.25">
      <c r="A98" s="8">
        <v>184</v>
      </c>
      <c r="B98" s="8" t="s">
        <v>818</v>
      </c>
      <c r="C98" s="8" t="s">
        <v>36</v>
      </c>
      <c r="D98" s="8" t="s">
        <v>125</v>
      </c>
      <c r="E98" s="8" t="s">
        <v>36</v>
      </c>
      <c r="F98" s="8" t="s">
        <v>766</v>
      </c>
      <c r="G98" s="8" t="s">
        <v>179</v>
      </c>
      <c r="H98" s="8" t="s">
        <v>42</v>
      </c>
      <c r="I98" s="8" t="s">
        <v>382</v>
      </c>
      <c r="J98" s="9" t="s">
        <v>70</v>
      </c>
      <c r="K98" s="10">
        <v>13</v>
      </c>
      <c r="L98" s="9">
        <v>15</v>
      </c>
      <c r="M98" s="9"/>
      <c r="N98" s="9"/>
      <c r="O98" s="9"/>
      <c r="P98" s="9"/>
      <c r="Q98" s="9"/>
      <c r="R98" s="9"/>
      <c r="S98" s="11">
        <f>IF(R98&lt;&gt;"",R98,ROUND((L98+M98+K98+IF(COUNT(N98:P98)&gt;0,AVERAGE(N98:P98),0))/(3+IF(COUNT(N98:P98)&gt;0,1,0)),1))</f>
        <v>9.3000000000000007</v>
      </c>
      <c r="T98" s="7"/>
      <c r="U98" s="7"/>
      <c r="V98" s="7"/>
      <c r="W98" s="7"/>
      <c r="X98" s="7"/>
    </row>
    <row r="99" spans="1:24" ht="15.75" customHeight="1" x14ac:dyDescent="0.25">
      <c r="A99" s="8">
        <v>52</v>
      </c>
      <c r="B99" s="8" t="s">
        <v>370</v>
      </c>
      <c r="C99" s="8">
        <v>300000000</v>
      </c>
      <c r="D99" s="8" t="s">
        <v>24</v>
      </c>
      <c r="E99" s="8" t="s">
        <v>36</v>
      </c>
      <c r="F99" s="13" t="s">
        <v>90</v>
      </c>
      <c r="G99" s="8" t="s">
        <v>223</v>
      </c>
      <c r="H99" s="8" t="s">
        <v>42</v>
      </c>
      <c r="I99" s="8" t="s">
        <v>299</v>
      </c>
      <c r="J99" s="9" t="s">
        <v>112</v>
      </c>
      <c r="K99" s="10">
        <v>10</v>
      </c>
      <c r="L99" s="9">
        <v>13</v>
      </c>
      <c r="M99" s="9">
        <v>5</v>
      </c>
      <c r="N99" s="9"/>
      <c r="O99" s="9"/>
      <c r="P99" s="9"/>
      <c r="Q99" s="9">
        <v>16</v>
      </c>
      <c r="R99" s="9"/>
      <c r="S99" s="11">
        <f>IF(R99&lt;&gt;"",R99,ROUND((L99+M99+K99+IF(COUNT(N99:P99)&gt;0,AVERAGE(N99:P99),0))/(3+IF(COUNT(N99:P99)&gt;0,1,0)),1))</f>
        <v>9.3000000000000007</v>
      </c>
      <c r="T99" s="7"/>
      <c r="U99" s="7"/>
      <c r="V99" s="7"/>
      <c r="W99" s="7"/>
      <c r="X99" s="7"/>
    </row>
    <row r="100" spans="1:24" ht="15.75" customHeight="1" x14ac:dyDescent="0.25">
      <c r="A100" s="8">
        <v>100</v>
      </c>
      <c r="B100" s="8" t="s">
        <v>609</v>
      </c>
      <c r="C100" s="8" t="s">
        <v>36</v>
      </c>
      <c r="D100" s="8" t="s">
        <v>125</v>
      </c>
      <c r="E100" s="8" t="s">
        <v>36</v>
      </c>
      <c r="F100" s="8" t="s">
        <v>301</v>
      </c>
      <c r="G100" s="8" t="s">
        <v>608</v>
      </c>
      <c r="H100" s="8" t="s">
        <v>42</v>
      </c>
      <c r="I100" s="8" t="s">
        <v>36</v>
      </c>
      <c r="J100" s="9" t="s">
        <v>112</v>
      </c>
      <c r="K100" s="10">
        <v>10</v>
      </c>
      <c r="L100" s="9">
        <v>13</v>
      </c>
      <c r="M100" s="9">
        <v>5</v>
      </c>
      <c r="N100" s="9"/>
      <c r="O100" s="9"/>
      <c r="P100" s="9"/>
      <c r="Q100" s="9"/>
      <c r="R100" s="9"/>
      <c r="S100" s="11">
        <f>IF(R100&lt;&gt;"",R100,ROUND((L100+M100+K100+IF(COUNT(N100:P100)&gt;0,AVERAGE(N100:P100),0))/(3+IF(COUNT(N100:P100)&gt;0,1,0)),1))</f>
        <v>9.3000000000000007</v>
      </c>
      <c r="T100" s="7"/>
      <c r="U100" s="7"/>
      <c r="V100" s="7"/>
      <c r="W100" s="7"/>
      <c r="X100" s="7"/>
    </row>
    <row r="101" spans="1:24" ht="15.75" customHeight="1" x14ac:dyDescent="0.25">
      <c r="A101" s="8">
        <v>140</v>
      </c>
      <c r="B101" s="8" t="s">
        <v>756</v>
      </c>
      <c r="C101" s="8" t="s">
        <v>36</v>
      </c>
      <c r="D101" s="8" t="s">
        <v>125</v>
      </c>
      <c r="E101" s="8" t="s">
        <v>559</v>
      </c>
      <c r="F101" s="8" t="s">
        <v>560</v>
      </c>
      <c r="G101" s="8" t="s">
        <v>223</v>
      </c>
      <c r="H101" s="8" t="s">
        <v>42</v>
      </c>
      <c r="I101" s="8" t="s">
        <v>560</v>
      </c>
      <c r="J101" s="9" t="s">
        <v>563</v>
      </c>
      <c r="K101" s="10">
        <v>10</v>
      </c>
      <c r="L101" s="9">
        <v>12</v>
      </c>
      <c r="M101" s="9">
        <v>6</v>
      </c>
      <c r="N101" s="9"/>
      <c r="O101" s="9"/>
      <c r="P101" s="9"/>
      <c r="Q101" s="9"/>
      <c r="R101" s="9"/>
      <c r="S101" s="11">
        <f>IF(R101&lt;&gt;"",R101,ROUND((L101+M101+K101+IF(COUNT(N101:P101)&gt;0,AVERAGE(N101:P101),0))/(3+IF(COUNT(N101:P101)&gt;0,1,0)),1))</f>
        <v>9.3000000000000007</v>
      </c>
      <c r="T101" s="7"/>
      <c r="U101" s="7"/>
      <c r="V101" s="7"/>
      <c r="W101" s="7"/>
      <c r="X101" s="7"/>
    </row>
    <row r="102" spans="1:24" ht="15.75" customHeight="1" x14ac:dyDescent="0.25">
      <c r="A102" s="8">
        <v>194</v>
      </c>
      <c r="B102" s="8" t="s">
        <v>892</v>
      </c>
      <c r="C102" s="8" t="s">
        <v>36</v>
      </c>
      <c r="D102" s="8" t="s">
        <v>125</v>
      </c>
      <c r="E102" s="8" t="s">
        <v>212</v>
      </c>
      <c r="F102" s="8" t="s">
        <v>189</v>
      </c>
      <c r="G102" s="8" t="s">
        <v>223</v>
      </c>
      <c r="H102" s="8" t="s">
        <v>42</v>
      </c>
      <c r="I102" s="8" t="s">
        <v>192</v>
      </c>
      <c r="J102" s="9" t="s">
        <v>112</v>
      </c>
      <c r="K102" s="10">
        <v>10</v>
      </c>
      <c r="L102" s="9">
        <v>11</v>
      </c>
      <c r="M102" s="9">
        <v>7</v>
      </c>
      <c r="N102" s="9"/>
      <c r="O102" s="9"/>
      <c r="P102" s="9"/>
      <c r="Q102" s="9"/>
      <c r="R102" s="9"/>
      <c r="S102" s="11">
        <f>IF(R102&lt;&gt;"",R102,ROUND((L102+M102+K102+IF(COUNT(N102:P102)&gt;0,AVERAGE(N102:P102),0))/(3+IF(COUNT(N102:P102)&gt;0,1,0)),1))</f>
        <v>9.3000000000000007</v>
      </c>
      <c r="T102" s="7"/>
      <c r="U102" s="7"/>
      <c r="V102" s="7"/>
      <c r="W102" s="7"/>
      <c r="X102" s="7"/>
    </row>
    <row r="103" spans="1:24" ht="15.75" customHeight="1" x14ac:dyDescent="0.25">
      <c r="A103" s="8">
        <v>40</v>
      </c>
      <c r="B103" s="8" t="s">
        <v>311</v>
      </c>
      <c r="C103" s="8" t="s">
        <v>36</v>
      </c>
      <c r="D103" s="8" t="s">
        <v>21</v>
      </c>
      <c r="E103" s="8" t="s">
        <v>36</v>
      </c>
      <c r="F103" s="8" t="s">
        <v>332</v>
      </c>
      <c r="G103" s="8" t="s">
        <v>188</v>
      </c>
      <c r="H103" s="8" t="s">
        <v>42</v>
      </c>
      <c r="I103" s="8" t="s">
        <v>36</v>
      </c>
      <c r="J103" s="9" t="s">
        <v>112</v>
      </c>
      <c r="K103" s="10">
        <v>10</v>
      </c>
      <c r="L103" s="9">
        <v>11</v>
      </c>
      <c r="M103" s="9">
        <v>7</v>
      </c>
      <c r="N103" s="9">
        <v>9</v>
      </c>
      <c r="O103" s="9"/>
      <c r="P103" s="9"/>
      <c r="Q103" s="9">
        <v>12</v>
      </c>
      <c r="R103" s="9"/>
      <c r="S103" s="11">
        <f>IF(R103&lt;&gt;"",R103,ROUND((L103+M103+K103+IF(COUNT(N103:P103)&gt;0,AVERAGE(N103:P103),0))/(3+IF(COUNT(N103:P103)&gt;0,1,0)),1))</f>
        <v>9.3000000000000007</v>
      </c>
      <c r="T103" s="7"/>
      <c r="U103" s="7"/>
      <c r="V103" s="7"/>
      <c r="W103" s="7"/>
      <c r="X103" s="7"/>
    </row>
    <row r="104" spans="1:24" ht="15.75" customHeight="1" x14ac:dyDescent="0.25">
      <c r="A104" s="8">
        <v>151</v>
      </c>
      <c r="B104" s="8" t="s">
        <v>795</v>
      </c>
      <c r="C104" s="8" t="s">
        <v>125</v>
      </c>
      <c r="D104" s="8" t="s">
        <v>125</v>
      </c>
      <c r="E104" s="8" t="s">
        <v>125</v>
      </c>
      <c r="F104" s="8" t="s">
        <v>305</v>
      </c>
      <c r="G104" s="8" t="s">
        <v>223</v>
      </c>
      <c r="H104" s="8" t="s">
        <v>42</v>
      </c>
      <c r="I104" s="8" t="s">
        <v>146</v>
      </c>
      <c r="J104" s="9" t="s">
        <v>874</v>
      </c>
      <c r="K104" s="10">
        <v>10</v>
      </c>
      <c r="L104" s="9">
        <v>17</v>
      </c>
      <c r="M104" s="9">
        <v>0</v>
      </c>
      <c r="N104" s="9"/>
      <c r="O104" s="9"/>
      <c r="P104" s="9"/>
      <c r="Q104" s="9"/>
      <c r="R104" s="9"/>
      <c r="S104" s="11">
        <f>IF(R104&lt;&gt;"",R104,ROUND((L104+M104+K104+IF(COUNT(N104:P104)&gt;0,AVERAGE(N104:P104),0))/(3+IF(COUNT(N104:P104)&gt;0,1,0)),1))</f>
        <v>9</v>
      </c>
      <c r="T104" s="7"/>
      <c r="U104" s="7"/>
      <c r="V104" s="7"/>
      <c r="W104" s="7"/>
      <c r="X104" s="7"/>
    </row>
    <row r="105" spans="1:24" ht="15.75" customHeight="1" x14ac:dyDescent="0.25">
      <c r="A105" s="8">
        <v>125</v>
      </c>
      <c r="B105" s="8" t="s">
        <v>703</v>
      </c>
      <c r="C105" s="15">
        <v>20000000</v>
      </c>
      <c r="D105" s="8" t="s">
        <v>125</v>
      </c>
      <c r="E105" s="8" t="s">
        <v>36</v>
      </c>
      <c r="F105" s="8" t="s">
        <v>862</v>
      </c>
      <c r="G105" s="8" t="s">
        <v>31</v>
      </c>
      <c r="H105" s="8" t="s">
        <v>42</v>
      </c>
      <c r="I105" s="8" t="s">
        <v>93</v>
      </c>
      <c r="J105" s="9" t="s">
        <v>373</v>
      </c>
      <c r="K105" s="10">
        <v>12</v>
      </c>
      <c r="L105" s="9">
        <v>15</v>
      </c>
      <c r="M105" s="9">
        <v>0</v>
      </c>
      <c r="N105" s="9"/>
      <c r="O105" s="9"/>
      <c r="P105" s="9"/>
      <c r="Q105" s="9">
        <v>4</v>
      </c>
      <c r="R105" s="9"/>
      <c r="S105" s="11">
        <f>IF(R105&lt;&gt;"",R105,ROUND((L105+M105+K105+IF(COUNT(N105:P105)&gt;0,AVERAGE(N105:P105),0))/(3+IF(COUNT(N105:P105)&gt;0,1,0)),1))</f>
        <v>9</v>
      </c>
      <c r="T105" s="7"/>
      <c r="U105" s="7"/>
      <c r="V105" s="7"/>
      <c r="W105" s="7"/>
      <c r="X105" s="7"/>
    </row>
    <row r="106" spans="1:24" ht="15.75" customHeight="1" x14ac:dyDescent="0.25">
      <c r="A106" s="8">
        <v>73</v>
      </c>
      <c r="B106" s="8" t="s">
        <v>479</v>
      </c>
      <c r="C106" s="8">
        <v>330000000</v>
      </c>
      <c r="D106" s="8" t="s">
        <v>125</v>
      </c>
      <c r="E106" s="8" t="s">
        <v>36</v>
      </c>
      <c r="F106" s="13" t="s">
        <v>854</v>
      </c>
      <c r="G106" s="8" t="s">
        <v>31</v>
      </c>
      <c r="H106" s="8" t="s">
        <v>42</v>
      </c>
      <c r="I106" s="8" t="s">
        <v>36</v>
      </c>
      <c r="J106" s="9" t="s">
        <v>112</v>
      </c>
      <c r="K106" s="10">
        <v>10</v>
      </c>
      <c r="L106" s="9">
        <v>11</v>
      </c>
      <c r="M106" s="9">
        <v>6</v>
      </c>
      <c r="N106" s="9"/>
      <c r="O106" s="9"/>
      <c r="P106" s="9"/>
      <c r="Q106" s="9">
        <v>4</v>
      </c>
      <c r="R106" s="9"/>
      <c r="S106" s="11">
        <f>IF(R106&lt;&gt;"",R106,ROUND((L106+M106+K106+IF(COUNT(N106:P106)&gt;0,AVERAGE(N106:P106),0))/(3+IF(COUNT(N106:P106)&gt;0,1,0)),1))</f>
        <v>9</v>
      </c>
      <c r="T106" s="7"/>
      <c r="U106" s="7"/>
      <c r="V106" s="7"/>
      <c r="W106" s="7"/>
      <c r="X106" s="7"/>
    </row>
    <row r="107" spans="1:24" ht="15.75" customHeight="1" x14ac:dyDescent="0.25">
      <c r="A107" s="8">
        <v>172</v>
      </c>
      <c r="B107" s="8" t="s">
        <v>866</v>
      </c>
      <c r="C107" s="8">
        <v>195000000</v>
      </c>
      <c r="D107" s="8" t="s">
        <v>24</v>
      </c>
      <c r="E107" s="8" t="s">
        <v>212</v>
      </c>
      <c r="F107" s="8" t="s">
        <v>415</v>
      </c>
      <c r="G107" s="8" t="s">
        <v>188</v>
      </c>
      <c r="H107" s="8" t="s">
        <v>42</v>
      </c>
      <c r="I107" s="8" t="s">
        <v>36</v>
      </c>
      <c r="J107" s="9" t="s">
        <v>112</v>
      </c>
      <c r="K107" s="10">
        <v>10</v>
      </c>
      <c r="L107" s="9">
        <v>12</v>
      </c>
      <c r="M107" s="9">
        <v>7</v>
      </c>
      <c r="N107" s="9"/>
      <c r="O107" s="9"/>
      <c r="P107" s="9">
        <v>6</v>
      </c>
      <c r="Q107" s="9">
        <v>9</v>
      </c>
      <c r="R107" s="9"/>
      <c r="S107" s="11">
        <f>IF(R107&lt;&gt;"",R107,ROUND((L107+M107+K107+IF(COUNT(N107:P107)&gt;0,AVERAGE(N107:P107),0))/(3+IF(COUNT(N107:P107)&gt;0,1,0)),1))</f>
        <v>8.8000000000000007</v>
      </c>
      <c r="T107" s="7"/>
      <c r="U107" s="7"/>
      <c r="V107" s="7"/>
      <c r="W107" s="7"/>
      <c r="X107" s="7"/>
    </row>
    <row r="108" spans="1:24" ht="15.75" customHeight="1" x14ac:dyDescent="0.25">
      <c r="A108" s="8">
        <v>176</v>
      </c>
      <c r="B108" s="8" t="s">
        <v>736</v>
      </c>
      <c r="C108" s="8">
        <v>330000000</v>
      </c>
      <c r="D108" s="8" t="s">
        <v>21</v>
      </c>
      <c r="E108" s="8" t="s">
        <v>331</v>
      </c>
      <c r="F108" s="8" t="s">
        <v>90</v>
      </c>
      <c r="G108" s="8" t="s">
        <v>223</v>
      </c>
      <c r="H108" s="8" t="s">
        <v>36</v>
      </c>
      <c r="I108" s="8" t="s">
        <v>36</v>
      </c>
      <c r="J108" s="9" t="s">
        <v>424</v>
      </c>
      <c r="K108" s="10">
        <v>11</v>
      </c>
      <c r="L108" s="9">
        <v>12</v>
      </c>
      <c r="M108" s="9">
        <v>6</v>
      </c>
      <c r="N108" s="9">
        <v>6</v>
      </c>
      <c r="O108" s="9"/>
      <c r="P108" s="9"/>
      <c r="Q108" s="9">
        <v>16</v>
      </c>
      <c r="R108" s="9"/>
      <c r="S108" s="11">
        <f>IF(R108&lt;&gt;"",R108,ROUND((L108+M108+K108+IF(COUNT(N108:P108)&gt;0,AVERAGE(N108:P108),0))/(3+IF(COUNT(N108:P108)&gt;0,1,0)),1))</f>
        <v>8.8000000000000007</v>
      </c>
      <c r="T108" s="7"/>
      <c r="U108" s="7"/>
      <c r="V108" s="7"/>
      <c r="W108" s="7"/>
      <c r="X108" s="7"/>
    </row>
    <row r="109" spans="1:24" ht="15.75" customHeight="1" x14ac:dyDescent="0.25">
      <c r="A109" s="8">
        <v>93</v>
      </c>
      <c r="B109" s="8" t="s">
        <v>584</v>
      </c>
      <c r="C109" s="8">
        <v>40000000</v>
      </c>
      <c r="D109" s="8" t="s">
        <v>21</v>
      </c>
      <c r="E109" s="8" t="s">
        <v>212</v>
      </c>
      <c r="F109" s="8" t="s">
        <v>255</v>
      </c>
      <c r="G109" s="8" t="s">
        <v>885</v>
      </c>
      <c r="H109" s="8" t="s">
        <v>42</v>
      </c>
      <c r="I109" s="8" t="s">
        <v>257</v>
      </c>
      <c r="J109" s="9" t="s">
        <v>112</v>
      </c>
      <c r="K109" s="10">
        <v>10</v>
      </c>
      <c r="L109" s="9">
        <v>11</v>
      </c>
      <c r="M109" s="9">
        <v>5</v>
      </c>
      <c r="N109" s="9">
        <v>9</v>
      </c>
      <c r="O109" s="9"/>
      <c r="P109" s="9"/>
      <c r="Q109" s="9">
        <v>11</v>
      </c>
      <c r="R109" s="9"/>
      <c r="S109" s="11">
        <f>IF(R109&lt;&gt;"",R109,ROUND((L109+M109+K109+IF(COUNT(N109:P109)&gt;0,AVERAGE(N109:P109),0))/(3+IF(COUNT(N109:P109)&gt;0,1,0)),1))</f>
        <v>8.8000000000000007</v>
      </c>
      <c r="T109" s="7"/>
      <c r="U109" s="7"/>
      <c r="V109" s="7"/>
      <c r="W109" s="7"/>
      <c r="X109" s="7"/>
    </row>
    <row r="110" spans="1:24" ht="15.75" customHeight="1" x14ac:dyDescent="0.25">
      <c r="A110" s="8">
        <v>94</v>
      </c>
      <c r="B110" s="8" t="s">
        <v>588</v>
      </c>
      <c r="C110" s="8">
        <v>40000000</v>
      </c>
      <c r="D110" s="8" t="s">
        <v>21</v>
      </c>
      <c r="E110" s="8" t="s">
        <v>212</v>
      </c>
      <c r="F110" s="8" t="s">
        <v>255</v>
      </c>
      <c r="G110" s="8" t="s">
        <v>885</v>
      </c>
      <c r="H110" s="8" t="s">
        <v>42</v>
      </c>
      <c r="I110" s="8" t="s">
        <v>257</v>
      </c>
      <c r="J110" s="9" t="s">
        <v>112</v>
      </c>
      <c r="K110" s="10">
        <v>10</v>
      </c>
      <c r="L110" s="9">
        <v>11</v>
      </c>
      <c r="M110" s="9">
        <v>5</v>
      </c>
      <c r="N110" s="9">
        <v>9</v>
      </c>
      <c r="O110" s="9"/>
      <c r="P110" s="9"/>
      <c r="Q110" s="9">
        <v>11</v>
      </c>
      <c r="R110" s="9"/>
      <c r="S110" s="11">
        <f>IF(R110&lt;&gt;"",R110,ROUND((L110+M110+K110+IF(COUNT(N110:P110)&gt;0,AVERAGE(N110:P110),0))/(3+IF(COUNT(N110:P110)&gt;0,1,0)),1))</f>
        <v>8.8000000000000007</v>
      </c>
      <c r="T110" s="7"/>
      <c r="U110" s="7"/>
      <c r="V110" s="7"/>
      <c r="W110" s="7"/>
      <c r="X110" s="7"/>
    </row>
    <row r="111" spans="1:24" ht="15.75" customHeight="1" x14ac:dyDescent="0.25">
      <c r="A111" s="8">
        <v>69</v>
      </c>
      <c r="B111" s="8" t="s">
        <v>451</v>
      </c>
      <c r="C111" s="8">
        <v>140000000</v>
      </c>
      <c r="D111" s="8" t="s">
        <v>24</v>
      </c>
      <c r="E111" s="8" t="s">
        <v>331</v>
      </c>
      <c r="F111" s="8" t="s">
        <v>877</v>
      </c>
      <c r="G111" s="8" t="s">
        <v>31</v>
      </c>
      <c r="H111" s="8" t="s">
        <v>42</v>
      </c>
      <c r="I111" s="8" t="s">
        <v>36</v>
      </c>
      <c r="J111" s="9" t="s">
        <v>112</v>
      </c>
      <c r="K111" s="10">
        <v>10</v>
      </c>
      <c r="L111" s="9">
        <v>5</v>
      </c>
      <c r="M111" s="9">
        <v>5</v>
      </c>
      <c r="N111" s="9"/>
      <c r="O111" s="9"/>
      <c r="P111" s="9">
        <v>15</v>
      </c>
      <c r="Q111" s="9">
        <v>4</v>
      </c>
      <c r="R111" s="9"/>
      <c r="S111" s="11">
        <f>IF(R111&lt;&gt;"",R111,ROUND((L111+M111+K111+IF(COUNT(N111:P111)&gt;0,AVERAGE(N111:P111),0))/(3+IF(COUNT(N111:P111)&gt;0,1,0)),1))</f>
        <v>8.8000000000000007</v>
      </c>
      <c r="T111" s="7"/>
      <c r="U111" s="7"/>
      <c r="V111" s="7"/>
      <c r="W111" s="7"/>
      <c r="X111" s="7"/>
    </row>
    <row r="112" spans="1:24" ht="15.75" customHeight="1" x14ac:dyDescent="0.25">
      <c r="A112" s="8">
        <v>155</v>
      </c>
      <c r="B112" s="8" t="s">
        <v>812</v>
      </c>
      <c r="C112" s="8" t="s">
        <v>36</v>
      </c>
      <c r="D112" s="8" t="s">
        <v>125</v>
      </c>
      <c r="E112" s="8" t="s">
        <v>36</v>
      </c>
      <c r="F112" s="8" t="s">
        <v>902</v>
      </c>
      <c r="G112" s="8" t="s">
        <v>31</v>
      </c>
      <c r="H112" s="8" t="s">
        <v>42</v>
      </c>
      <c r="I112" s="8" t="s">
        <v>481</v>
      </c>
      <c r="J112" s="9" t="s">
        <v>373</v>
      </c>
      <c r="K112" s="10">
        <v>12</v>
      </c>
      <c r="L112" s="9">
        <v>14</v>
      </c>
      <c r="M112" s="9"/>
      <c r="N112" s="9"/>
      <c r="O112" s="9"/>
      <c r="P112" s="9"/>
      <c r="Q112" s="9">
        <v>3</v>
      </c>
      <c r="R112" s="9"/>
      <c r="S112" s="11">
        <f>IF(R112&lt;&gt;"",R112,ROUND((L112+M112+K112+IF(COUNT(N112:P112)&gt;0,AVERAGE(N112:P112),0))/(3+IF(COUNT(N112:P112)&gt;0,1,0)),1))</f>
        <v>8.6999999999999993</v>
      </c>
      <c r="T112" s="7"/>
      <c r="U112" s="7"/>
      <c r="V112" s="7"/>
      <c r="W112" s="7"/>
      <c r="X112" s="7"/>
    </row>
    <row r="113" spans="1:24" ht="15.75" customHeight="1" x14ac:dyDescent="0.25">
      <c r="A113" s="8">
        <v>190</v>
      </c>
      <c r="B113" s="8" t="s">
        <v>904</v>
      </c>
      <c r="C113" s="8" t="s">
        <v>36</v>
      </c>
      <c r="D113" s="8" t="s">
        <v>125</v>
      </c>
      <c r="E113" s="8" t="s">
        <v>212</v>
      </c>
      <c r="F113" s="8" t="s">
        <v>636</v>
      </c>
      <c r="G113" s="8" t="s">
        <v>190</v>
      </c>
      <c r="H113" s="8" t="s">
        <v>42</v>
      </c>
      <c r="I113" s="8" t="s">
        <v>192</v>
      </c>
      <c r="J113" s="9" t="s">
        <v>373</v>
      </c>
      <c r="K113" s="10">
        <v>10</v>
      </c>
      <c r="L113" s="9">
        <v>12</v>
      </c>
      <c r="M113" s="9">
        <v>4</v>
      </c>
      <c r="N113" s="9"/>
      <c r="O113" s="9"/>
      <c r="P113" s="9"/>
      <c r="Q113" s="9"/>
      <c r="R113" s="9"/>
      <c r="S113" s="11">
        <f>IF(R113&lt;&gt;"",R113,ROUND((L113+M113+K113+IF(COUNT(N113:P113)&gt;0,AVERAGE(N113:P113),0))/(3+IF(COUNT(N113:P113)&gt;0,1,0)),1))</f>
        <v>8.6999999999999993</v>
      </c>
      <c r="T113" s="7"/>
      <c r="U113" s="7"/>
      <c r="V113" s="7"/>
      <c r="W113" s="7"/>
      <c r="X113" s="7"/>
    </row>
    <row r="114" spans="1:24" ht="15.75" customHeight="1" x14ac:dyDescent="0.25">
      <c r="A114" s="8">
        <v>165</v>
      </c>
      <c r="B114" s="8" t="s">
        <v>846</v>
      </c>
      <c r="C114" s="8">
        <v>99000000</v>
      </c>
      <c r="D114" s="8" t="s">
        <v>24</v>
      </c>
      <c r="E114" s="8" t="s">
        <v>212</v>
      </c>
      <c r="F114" s="8" t="s">
        <v>415</v>
      </c>
      <c r="G114" s="8" t="s">
        <v>265</v>
      </c>
      <c r="H114" s="8" t="s">
        <v>36</v>
      </c>
      <c r="I114" s="8" t="s">
        <v>36</v>
      </c>
      <c r="J114" s="9" t="s">
        <v>112</v>
      </c>
      <c r="K114" s="10">
        <v>10</v>
      </c>
      <c r="L114" s="9">
        <v>9</v>
      </c>
      <c r="M114" s="9">
        <v>8</v>
      </c>
      <c r="N114" s="9"/>
      <c r="O114" s="9"/>
      <c r="P114" s="9">
        <v>7</v>
      </c>
      <c r="Q114" s="9">
        <v>9</v>
      </c>
      <c r="R114" s="9"/>
      <c r="S114" s="11">
        <f>IF(R114&lt;&gt;"",R114,ROUND((L114+M114+K114+IF(COUNT(N114:P114)&gt;0,AVERAGE(N114:P114),0))/(3+IF(COUNT(N114:P114)&gt;0,1,0)),1))</f>
        <v>8.5</v>
      </c>
      <c r="T114" s="7"/>
      <c r="U114" s="7"/>
      <c r="V114" s="7"/>
      <c r="W114" s="7"/>
      <c r="X114" s="7"/>
    </row>
    <row r="115" spans="1:24" ht="15.75" customHeight="1" x14ac:dyDescent="0.25">
      <c r="A115" s="8">
        <v>58</v>
      </c>
      <c r="B115" s="8" t="s">
        <v>395</v>
      </c>
      <c r="C115" s="8">
        <v>480000000</v>
      </c>
      <c r="D115" s="8" t="s">
        <v>21</v>
      </c>
      <c r="E115" s="8" t="s">
        <v>212</v>
      </c>
      <c r="F115" s="8" t="s">
        <v>72</v>
      </c>
      <c r="G115" s="8" t="s">
        <v>213</v>
      </c>
      <c r="H115" s="8" t="s">
        <v>42</v>
      </c>
      <c r="I115" s="8" t="s">
        <v>36</v>
      </c>
      <c r="J115" s="9" t="s">
        <v>112</v>
      </c>
      <c r="K115" s="10">
        <v>10</v>
      </c>
      <c r="L115" s="9">
        <v>8</v>
      </c>
      <c r="M115" s="9">
        <v>6</v>
      </c>
      <c r="N115" s="9">
        <v>10</v>
      </c>
      <c r="O115" s="9"/>
      <c r="P115" s="9"/>
      <c r="Q115" s="9">
        <v>16</v>
      </c>
      <c r="R115" s="9"/>
      <c r="S115" s="11">
        <f>IF(R115&lt;&gt;"",R115,ROUND((L115+M115+K115+IF(COUNT(N115:P115)&gt;0,AVERAGE(N115:P115),0))/(3+IF(COUNT(N115:P115)&gt;0,1,0)),1))</f>
        <v>8.5</v>
      </c>
      <c r="T115" s="7"/>
      <c r="U115" s="7"/>
      <c r="V115" s="7"/>
      <c r="W115" s="7"/>
      <c r="X115" s="7"/>
    </row>
    <row r="116" spans="1:24" ht="15.75" customHeight="1" x14ac:dyDescent="0.25">
      <c r="A116" s="8">
        <v>107</v>
      </c>
      <c r="B116" s="8" t="s">
        <v>641</v>
      </c>
      <c r="C116" s="8" t="s">
        <v>36</v>
      </c>
      <c r="D116" s="8" t="s">
        <v>24</v>
      </c>
      <c r="E116" s="8" t="s">
        <v>212</v>
      </c>
      <c r="F116" s="8" t="s">
        <v>409</v>
      </c>
      <c r="G116" s="8" t="s">
        <v>410</v>
      </c>
      <c r="H116" s="8" t="s">
        <v>42</v>
      </c>
      <c r="I116" s="8" t="s">
        <v>36</v>
      </c>
      <c r="J116" s="9" t="s">
        <v>112</v>
      </c>
      <c r="K116" s="10">
        <v>10</v>
      </c>
      <c r="L116" s="9">
        <v>13</v>
      </c>
      <c r="M116" s="9">
        <v>6</v>
      </c>
      <c r="N116" s="9"/>
      <c r="O116" s="9"/>
      <c r="P116" s="9">
        <v>4</v>
      </c>
      <c r="Q116" s="9"/>
      <c r="R116" s="9"/>
      <c r="S116" s="11">
        <f>IF(R116&lt;&gt;"",R116,ROUND((L116+M116+K116+IF(COUNT(N116:P116)&gt;0,AVERAGE(N116:P116),0))/(3+IF(COUNT(N116:P116)&gt;0,1,0)),1))</f>
        <v>8.3000000000000007</v>
      </c>
      <c r="T116" s="7"/>
      <c r="U116" s="7"/>
      <c r="V116" s="7"/>
      <c r="W116" s="7"/>
      <c r="X116" s="7"/>
    </row>
    <row r="117" spans="1:24" ht="15.75" customHeight="1" x14ac:dyDescent="0.25">
      <c r="A117" s="8">
        <v>97</v>
      </c>
      <c r="B117" s="8" t="s">
        <v>927</v>
      </c>
      <c r="C117" s="8">
        <v>32000000</v>
      </c>
      <c r="D117" s="8" t="s">
        <v>24</v>
      </c>
      <c r="E117" s="8" t="s">
        <v>36</v>
      </c>
      <c r="F117" s="8" t="s">
        <v>570</v>
      </c>
      <c r="G117" s="8" t="s">
        <v>758</v>
      </c>
      <c r="H117" s="8" t="s">
        <v>42</v>
      </c>
      <c r="I117" s="8" t="s">
        <v>36</v>
      </c>
      <c r="J117" s="9" t="s">
        <v>112</v>
      </c>
      <c r="K117" s="10">
        <v>10</v>
      </c>
      <c r="L117" s="9">
        <v>12</v>
      </c>
      <c r="M117" s="9">
        <v>6</v>
      </c>
      <c r="N117" s="9"/>
      <c r="O117" s="9"/>
      <c r="P117" s="9">
        <v>5</v>
      </c>
      <c r="Q117" s="9"/>
      <c r="R117" s="9"/>
      <c r="S117" s="11">
        <f>IF(R117&lt;&gt;"",R117,ROUND((L117+M117+K117+IF(COUNT(N117:P117)&gt;0,AVERAGE(N117:P117),0))/(3+IF(COUNT(N117:P117)&gt;0,1,0)),1))</f>
        <v>8.3000000000000007</v>
      </c>
      <c r="T117" s="7"/>
      <c r="U117" s="7"/>
      <c r="V117" s="7"/>
      <c r="W117" s="7"/>
      <c r="X117" s="7"/>
    </row>
    <row r="118" spans="1:24" ht="15.75" customHeight="1" x14ac:dyDescent="0.25">
      <c r="A118" s="8">
        <v>156</v>
      </c>
      <c r="B118" s="8" t="s">
        <v>817</v>
      </c>
      <c r="C118" s="8" t="s">
        <v>125</v>
      </c>
      <c r="D118" s="8" t="s">
        <v>125</v>
      </c>
      <c r="E118" s="8" t="s">
        <v>36</v>
      </c>
      <c r="F118" s="8" t="s">
        <v>644</v>
      </c>
      <c r="G118" s="8" t="s">
        <v>179</v>
      </c>
      <c r="H118" s="8" t="s">
        <v>42</v>
      </c>
      <c r="I118" s="8" t="s">
        <v>481</v>
      </c>
      <c r="J118" s="9" t="s">
        <v>373</v>
      </c>
      <c r="K118" s="10">
        <v>12</v>
      </c>
      <c r="L118" s="9">
        <v>9</v>
      </c>
      <c r="M118" s="9">
        <v>4</v>
      </c>
      <c r="N118" s="9"/>
      <c r="O118" s="9"/>
      <c r="P118" s="9"/>
      <c r="Q118" s="9"/>
      <c r="R118" s="9"/>
      <c r="S118" s="11">
        <f>IF(R118&lt;&gt;"",R118,ROUND((L118+M118+K118+IF(COUNT(N118:P118)&gt;0,AVERAGE(N118:P118),0))/(3+IF(COUNT(N118:P118)&gt;0,1,0)),1))</f>
        <v>8.3000000000000007</v>
      </c>
      <c r="T118" s="7"/>
      <c r="U118" s="7"/>
      <c r="V118" s="7"/>
      <c r="W118" s="7"/>
      <c r="X118" s="7"/>
    </row>
    <row r="119" spans="1:24" ht="15.75" customHeight="1" x14ac:dyDescent="0.25">
      <c r="A119" s="8">
        <v>67</v>
      </c>
      <c r="B119" s="8" t="s">
        <v>438</v>
      </c>
      <c r="C119" s="15">
        <v>350000000</v>
      </c>
      <c r="D119" s="15" t="s">
        <v>24</v>
      </c>
      <c r="E119" s="8" t="s">
        <v>212</v>
      </c>
      <c r="F119" s="8" t="s">
        <v>924</v>
      </c>
      <c r="G119" s="8" t="s">
        <v>31</v>
      </c>
      <c r="H119" s="8" t="s">
        <v>42</v>
      </c>
      <c r="I119" s="8" t="s">
        <v>36</v>
      </c>
      <c r="J119" s="9" t="s">
        <v>112</v>
      </c>
      <c r="K119" s="10">
        <v>10</v>
      </c>
      <c r="L119" s="9">
        <v>8</v>
      </c>
      <c r="M119" s="9">
        <v>7</v>
      </c>
      <c r="N119" s="9"/>
      <c r="O119" s="9"/>
      <c r="P119" s="9">
        <v>8</v>
      </c>
      <c r="Q119" s="9">
        <v>6</v>
      </c>
      <c r="R119" s="9"/>
      <c r="S119" s="11">
        <f>IF(R119&lt;&gt;"",R119,ROUND((L119+M119+K119+IF(COUNT(N119:P119)&gt;0,AVERAGE(N119:P119),0))/(3+IF(COUNT(N119:P119)&gt;0,1,0)),1))</f>
        <v>8.3000000000000007</v>
      </c>
      <c r="T119" s="7"/>
      <c r="U119" s="7"/>
      <c r="V119" s="7"/>
      <c r="W119" s="7"/>
      <c r="X119" s="7"/>
    </row>
    <row r="120" spans="1:24" x14ac:dyDescent="0.25">
      <c r="A120" s="8">
        <v>192</v>
      </c>
      <c r="B120" s="8" t="s">
        <v>908</v>
      </c>
      <c r="C120" s="8" t="s">
        <v>36</v>
      </c>
      <c r="D120" s="8" t="s">
        <v>21</v>
      </c>
      <c r="E120" s="8" t="s">
        <v>212</v>
      </c>
      <c r="F120" s="8" t="s">
        <v>189</v>
      </c>
      <c r="G120" s="8" t="s">
        <v>702</v>
      </c>
      <c r="H120" s="8" t="s">
        <v>36</v>
      </c>
      <c r="I120" s="8" t="s">
        <v>192</v>
      </c>
      <c r="J120" s="9" t="s">
        <v>112</v>
      </c>
      <c r="K120" s="10">
        <v>10</v>
      </c>
      <c r="L120" s="9">
        <v>8</v>
      </c>
      <c r="M120" s="9">
        <v>3</v>
      </c>
      <c r="N120" s="9">
        <v>12</v>
      </c>
      <c r="O120" s="9"/>
      <c r="P120" s="9"/>
      <c r="Q120" s="9"/>
      <c r="R120" s="9"/>
      <c r="S120" s="11">
        <f>IF(R120&lt;&gt;"",R120,ROUND((L120+M120+K120+IF(COUNT(N120:P120)&gt;0,AVERAGE(N120:P120),0))/(3+IF(COUNT(N120:P120)&gt;0,1,0)),1))</f>
        <v>8.3000000000000007</v>
      </c>
      <c r="T120" s="7"/>
      <c r="U120" s="7"/>
      <c r="V120" s="7"/>
      <c r="W120" s="7"/>
      <c r="X120" s="7"/>
    </row>
    <row r="121" spans="1:24" ht="15.75" customHeight="1" x14ac:dyDescent="0.25">
      <c r="A121" s="8">
        <v>71</v>
      </c>
      <c r="B121" s="8" t="s">
        <v>465</v>
      </c>
      <c r="C121" s="8">
        <v>350000000</v>
      </c>
      <c r="D121" s="8" t="s">
        <v>24</v>
      </c>
      <c r="E121" s="8" t="s">
        <v>36</v>
      </c>
      <c r="F121" s="8" t="s">
        <v>918</v>
      </c>
      <c r="G121" s="8" t="s">
        <v>31</v>
      </c>
      <c r="H121" s="8" t="s">
        <v>42</v>
      </c>
      <c r="I121" s="8" t="s">
        <v>36</v>
      </c>
      <c r="J121" s="9" t="s">
        <v>112</v>
      </c>
      <c r="K121" s="10">
        <v>10</v>
      </c>
      <c r="L121" s="9">
        <v>7</v>
      </c>
      <c r="M121" s="9">
        <v>7</v>
      </c>
      <c r="N121" s="9"/>
      <c r="O121" s="9"/>
      <c r="P121" s="9">
        <v>9</v>
      </c>
      <c r="Q121" s="9">
        <v>8</v>
      </c>
      <c r="R121" s="9"/>
      <c r="S121" s="11">
        <f>IF(R121&lt;&gt;"",R121,ROUND((L121+M121+K121+IF(COUNT(N121:P121)&gt;0,AVERAGE(N121:P121),0))/(3+IF(COUNT(N121:P121)&gt;0,1,0)),1))</f>
        <v>8.3000000000000007</v>
      </c>
      <c r="T121" s="7"/>
      <c r="U121" s="7"/>
      <c r="V121" s="7"/>
      <c r="W121" s="7"/>
      <c r="X121" s="7"/>
    </row>
    <row r="122" spans="1:24" ht="15.75" customHeight="1" x14ac:dyDescent="0.25">
      <c r="A122" s="8">
        <v>20</v>
      </c>
      <c r="B122" s="8" t="s">
        <v>182</v>
      </c>
      <c r="C122" s="8" t="s">
        <v>36</v>
      </c>
      <c r="D122" s="8" t="s">
        <v>125</v>
      </c>
      <c r="E122" s="8" t="s">
        <v>36</v>
      </c>
      <c r="F122" s="13" t="s">
        <v>145</v>
      </c>
      <c r="G122" s="8" t="s">
        <v>188</v>
      </c>
      <c r="H122" s="8" t="s">
        <v>42</v>
      </c>
      <c r="I122" s="8" t="s">
        <v>36</v>
      </c>
      <c r="J122" s="9" t="s">
        <v>112</v>
      </c>
      <c r="K122" s="10">
        <v>10</v>
      </c>
      <c r="L122" s="9">
        <v>14</v>
      </c>
      <c r="M122" s="9"/>
      <c r="N122" s="9"/>
      <c r="O122" s="9"/>
      <c r="P122" s="9"/>
      <c r="Q122" s="9">
        <v>19</v>
      </c>
      <c r="R122" s="9"/>
      <c r="S122" s="11">
        <f>IF(R122&lt;&gt;"",R122,ROUND((L122+M122+K122+IF(COUNT(N122:P122)&gt;0,AVERAGE(N122:P122),0))/(3+IF(COUNT(N122:P122)&gt;0,1,0)),1))</f>
        <v>8</v>
      </c>
      <c r="T122" s="7"/>
      <c r="U122" s="7"/>
      <c r="V122" s="7"/>
      <c r="W122" s="7"/>
      <c r="X122" s="7"/>
    </row>
    <row r="123" spans="1:24" ht="15.75" customHeight="1" x14ac:dyDescent="0.25">
      <c r="A123" s="8">
        <v>19</v>
      </c>
      <c r="B123" s="8" t="s">
        <v>177</v>
      </c>
      <c r="C123" s="8" t="s">
        <v>36</v>
      </c>
      <c r="D123" s="8" t="s">
        <v>125</v>
      </c>
      <c r="E123" s="8" t="s">
        <v>559</v>
      </c>
      <c r="F123" s="13" t="s">
        <v>145</v>
      </c>
      <c r="G123" s="8" t="s">
        <v>188</v>
      </c>
      <c r="H123" s="8" t="s">
        <v>42</v>
      </c>
      <c r="I123" s="8" t="s">
        <v>36</v>
      </c>
      <c r="J123" s="9" t="s">
        <v>112</v>
      </c>
      <c r="K123" s="10">
        <v>10</v>
      </c>
      <c r="L123" s="9">
        <v>15</v>
      </c>
      <c r="M123" s="9"/>
      <c r="N123" s="9"/>
      <c r="O123" s="9"/>
      <c r="P123" s="9"/>
      <c r="Q123" s="9">
        <v>19</v>
      </c>
      <c r="R123" s="9">
        <v>15</v>
      </c>
      <c r="S123" s="11">
        <f>IF(R123&lt;&gt;"",R123,ROUND((L123+M123+K123+IF(COUNT(N123:P123)&gt;0,AVERAGE(N123:P123),0))/(3+IF(COUNT(N123:P123)&gt;0,1,0)),1))</f>
        <v>15</v>
      </c>
      <c r="T123" s="7"/>
      <c r="U123" s="7"/>
      <c r="V123" s="7"/>
      <c r="W123" s="7"/>
      <c r="X123" s="7"/>
    </row>
    <row r="124" spans="1:24" ht="15.75" customHeight="1" x14ac:dyDescent="0.25">
      <c r="A124" s="8">
        <v>131</v>
      </c>
      <c r="B124" s="8" t="s">
        <v>722</v>
      </c>
      <c r="C124" s="8" t="s">
        <v>36</v>
      </c>
      <c r="D124" s="8" t="s">
        <v>125</v>
      </c>
      <c r="E124" s="8" t="s">
        <v>36</v>
      </c>
      <c r="F124" s="8" t="s">
        <v>696</v>
      </c>
      <c r="G124" s="8" t="s">
        <v>354</v>
      </c>
      <c r="H124" s="8" t="s">
        <v>42</v>
      </c>
      <c r="I124" s="8" t="s">
        <v>382</v>
      </c>
      <c r="J124" s="9" t="s">
        <v>112</v>
      </c>
      <c r="K124" s="10">
        <v>10</v>
      </c>
      <c r="L124" s="9">
        <v>14</v>
      </c>
      <c r="M124" s="9"/>
      <c r="N124" s="9"/>
      <c r="O124" s="9"/>
      <c r="P124" s="9"/>
      <c r="Q124" s="9"/>
      <c r="R124" s="9"/>
      <c r="S124" s="11">
        <f>IF(R124&lt;&gt;"",R124,ROUND((L124+M124+K124+IF(COUNT(N124:P124)&gt;0,AVERAGE(N124:P124),0))/(3+IF(COUNT(N124:P124)&gt;0,1,0)),1))</f>
        <v>8</v>
      </c>
      <c r="T124" s="7"/>
      <c r="U124" s="7"/>
      <c r="V124" s="7"/>
      <c r="W124" s="7"/>
      <c r="X124" s="7"/>
    </row>
    <row r="125" spans="1:24" ht="15.75" customHeight="1" x14ac:dyDescent="0.25">
      <c r="A125" s="8">
        <v>146</v>
      </c>
      <c r="B125" s="8" t="s">
        <v>782</v>
      </c>
      <c r="C125" s="8" t="s">
        <v>125</v>
      </c>
      <c r="D125" s="8" t="s">
        <v>125</v>
      </c>
      <c r="E125" s="8" t="s">
        <v>125</v>
      </c>
      <c r="F125" s="8" t="s">
        <v>930</v>
      </c>
      <c r="G125" s="8" t="s">
        <v>931</v>
      </c>
      <c r="H125" s="8" t="s">
        <v>110</v>
      </c>
      <c r="I125" s="8" t="s">
        <v>773</v>
      </c>
      <c r="J125" s="9" t="s">
        <v>373</v>
      </c>
      <c r="K125" s="10">
        <v>12</v>
      </c>
      <c r="L125" s="9">
        <v>12</v>
      </c>
      <c r="M125" s="9">
        <v>0</v>
      </c>
      <c r="N125" s="9"/>
      <c r="O125" s="9"/>
      <c r="P125" s="9"/>
      <c r="Q125" s="9"/>
      <c r="R125" s="9"/>
      <c r="S125" s="11">
        <f>IF(R125&lt;&gt;"",R125,ROUND((L125+M125+K125+IF(COUNT(N125:P125)&gt;0,AVERAGE(N125:P125),0))/(3+IF(COUNT(N125:P125)&gt;0,1,0)),1))</f>
        <v>8</v>
      </c>
      <c r="T125" s="7"/>
      <c r="U125" s="7"/>
      <c r="V125" s="7"/>
      <c r="W125" s="7"/>
      <c r="X125" s="7"/>
    </row>
    <row r="126" spans="1:24" ht="15.75" customHeight="1" x14ac:dyDescent="0.25">
      <c r="A126" s="8">
        <v>101</v>
      </c>
      <c r="B126" s="8" t="s">
        <v>611</v>
      </c>
      <c r="C126" s="8" t="s">
        <v>36</v>
      </c>
      <c r="D126" s="8" t="s">
        <v>125</v>
      </c>
      <c r="E126" s="8" t="s">
        <v>36</v>
      </c>
      <c r="F126" s="8" t="s">
        <v>301</v>
      </c>
      <c r="G126" s="8" t="s">
        <v>608</v>
      </c>
      <c r="H126" s="8" t="s">
        <v>42</v>
      </c>
      <c r="I126" s="8" t="s">
        <v>36</v>
      </c>
      <c r="J126" s="9" t="s">
        <v>112</v>
      </c>
      <c r="K126" s="10">
        <v>10</v>
      </c>
      <c r="L126" s="9">
        <v>10</v>
      </c>
      <c r="M126" s="9">
        <v>4</v>
      </c>
      <c r="N126" s="9"/>
      <c r="O126" s="9"/>
      <c r="P126" s="9"/>
      <c r="Q126" s="9"/>
      <c r="R126" s="9"/>
      <c r="S126" s="11">
        <f>IF(R126&lt;&gt;"",R126,ROUND((L126+M126+K126+IF(COUNT(N126:P126)&gt;0,AVERAGE(N126:P126),0))/(3+IF(COUNT(N126:P126)&gt;0,1,0)),1))</f>
        <v>8</v>
      </c>
      <c r="T126" s="7"/>
      <c r="U126" s="7"/>
      <c r="V126" s="7"/>
      <c r="W126" s="7"/>
      <c r="X126" s="7"/>
    </row>
    <row r="127" spans="1:24" ht="15.75" customHeight="1" x14ac:dyDescent="0.25">
      <c r="A127" s="8">
        <v>188</v>
      </c>
      <c r="B127" s="8" t="s">
        <v>897</v>
      </c>
      <c r="C127" s="8" t="s">
        <v>36</v>
      </c>
      <c r="D127" s="8" t="s">
        <v>125</v>
      </c>
      <c r="E127" s="8" t="s">
        <v>212</v>
      </c>
      <c r="F127" s="8" t="s">
        <v>636</v>
      </c>
      <c r="G127" s="8" t="s">
        <v>190</v>
      </c>
      <c r="H127" s="8" t="s">
        <v>42</v>
      </c>
      <c r="I127" s="8" t="s">
        <v>192</v>
      </c>
      <c r="J127" s="9" t="s">
        <v>112</v>
      </c>
      <c r="K127" s="10">
        <v>10</v>
      </c>
      <c r="L127" s="9">
        <v>8</v>
      </c>
      <c r="M127" s="9">
        <v>6</v>
      </c>
      <c r="N127" s="9"/>
      <c r="O127" s="9"/>
      <c r="P127" s="9"/>
      <c r="Q127" s="9"/>
      <c r="R127" s="9"/>
      <c r="S127" s="11">
        <f>IF(R127&lt;&gt;"",R127,ROUND((L127+M127+K127+IF(COUNT(N127:P127)&gt;0,AVERAGE(N127:P127),0))/(3+IF(COUNT(N127:P127)&gt;0,1,0)),1))</f>
        <v>8</v>
      </c>
      <c r="T127" s="7"/>
      <c r="U127" s="7"/>
      <c r="V127" s="7"/>
      <c r="W127" s="7"/>
      <c r="X127" s="7"/>
    </row>
    <row r="128" spans="1:24" ht="15.75" customHeight="1" x14ac:dyDescent="0.25">
      <c r="A128" s="8">
        <v>39</v>
      </c>
      <c r="B128" s="8" t="s">
        <v>306</v>
      </c>
      <c r="C128" s="8">
        <v>64000000</v>
      </c>
      <c r="D128" s="8" t="s">
        <v>24</v>
      </c>
      <c r="E128" s="8" t="s">
        <v>36</v>
      </c>
      <c r="F128" s="8" t="s">
        <v>332</v>
      </c>
      <c r="G128" s="8" t="s">
        <v>188</v>
      </c>
      <c r="H128" s="8" t="s">
        <v>42</v>
      </c>
      <c r="I128" s="8" t="s">
        <v>36</v>
      </c>
      <c r="J128" s="9" t="s">
        <v>112</v>
      </c>
      <c r="K128" s="10">
        <v>10</v>
      </c>
      <c r="L128" s="9">
        <v>8</v>
      </c>
      <c r="M128" s="9">
        <v>7</v>
      </c>
      <c r="N128" s="9"/>
      <c r="O128" s="9"/>
      <c r="P128" s="9">
        <v>7</v>
      </c>
      <c r="Q128" s="9">
        <v>12</v>
      </c>
      <c r="R128" s="9"/>
      <c r="S128" s="11">
        <f>IF(R128&lt;&gt;"",R128,ROUND((L128+M128+K128+IF(COUNT(N128:P128)&gt;0,AVERAGE(N128:P128),0))/(3+IF(COUNT(N128:P128)&gt;0,1,0)),1))</f>
        <v>8</v>
      </c>
      <c r="T128" s="7"/>
      <c r="U128" s="7"/>
      <c r="V128" s="7"/>
      <c r="W128" s="7"/>
      <c r="X128" s="7"/>
    </row>
    <row r="129" spans="1:24" ht="15.75" customHeight="1" x14ac:dyDescent="0.25">
      <c r="A129" s="8">
        <v>68</v>
      </c>
      <c r="B129" s="8" t="s">
        <v>446</v>
      </c>
      <c r="C129" s="8">
        <v>350000000</v>
      </c>
      <c r="D129" s="8" t="s">
        <v>24</v>
      </c>
      <c r="E129" s="8" t="s">
        <v>212</v>
      </c>
      <c r="F129" s="8" t="s">
        <v>929</v>
      </c>
      <c r="G129" s="8" t="s">
        <v>31</v>
      </c>
      <c r="H129" s="8" t="s">
        <v>42</v>
      </c>
      <c r="I129" s="8" t="s">
        <v>36</v>
      </c>
      <c r="J129" s="9" t="s">
        <v>112</v>
      </c>
      <c r="K129" s="10">
        <v>10</v>
      </c>
      <c r="L129" s="9">
        <v>7</v>
      </c>
      <c r="M129" s="9">
        <v>7</v>
      </c>
      <c r="N129" s="9"/>
      <c r="O129" s="9"/>
      <c r="P129" s="9"/>
      <c r="Q129" s="9">
        <v>2</v>
      </c>
      <c r="R129" s="9"/>
      <c r="S129" s="11">
        <f>IF(R129&lt;&gt;"",R129,ROUND((L129+M129+K129+IF(COUNT(N129:P129)&gt;0,AVERAGE(N129:P129),0))/(3+IF(COUNT(N129:P129)&gt;0,1,0)),1))</f>
        <v>8</v>
      </c>
      <c r="T129" s="7"/>
      <c r="U129" s="7"/>
      <c r="V129" s="7"/>
      <c r="W129" s="7"/>
      <c r="X129" s="7"/>
    </row>
    <row r="130" spans="1:24" ht="15.75" customHeight="1" x14ac:dyDescent="0.25">
      <c r="A130" s="8">
        <v>154</v>
      </c>
      <c r="B130" s="8" t="s">
        <v>805</v>
      </c>
      <c r="C130" s="8" t="s">
        <v>125</v>
      </c>
      <c r="D130" s="8" t="s">
        <v>125</v>
      </c>
      <c r="E130" s="8" t="s">
        <v>559</v>
      </c>
      <c r="F130" s="8" t="s">
        <v>644</v>
      </c>
      <c r="G130" s="8" t="s">
        <v>732</v>
      </c>
      <c r="H130" s="8" t="s">
        <v>42</v>
      </c>
      <c r="I130" s="8" t="s">
        <v>481</v>
      </c>
      <c r="J130" s="9" t="s">
        <v>373</v>
      </c>
      <c r="K130" s="10">
        <v>13</v>
      </c>
      <c r="L130" s="9">
        <v>6</v>
      </c>
      <c r="M130" s="9">
        <v>5</v>
      </c>
      <c r="N130" s="9"/>
      <c r="O130" s="9"/>
      <c r="P130" s="9"/>
      <c r="Q130" s="9"/>
      <c r="R130" s="9"/>
      <c r="S130" s="11">
        <f>IF(R130&lt;&gt;"",R130,ROUND((L130+M130+K130+IF(COUNT(N130:P130)&gt;0,AVERAGE(N130:P130),0))/(3+IF(COUNT(N130:P130)&gt;0,1,0)),1))</f>
        <v>8</v>
      </c>
      <c r="T130" s="7"/>
      <c r="U130" s="7"/>
      <c r="V130" s="7"/>
      <c r="W130" s="7"/>
      <c r="X130" s="7"/>
    </row>
    <row r="131" spans="1:24" ht="15.75" customHeight="1" x14ac:dyDescent="0.25">
      <c r="A131" s="8">
        <v>187</v>
      </c>
      <c r="B131" s="8" t="s">
        <v>895</v>
      </c>
      <c r="C131" s="15" t="s">
        <v>36</v>
      </c>
      <c r="D131" s="8" t="s">
        <v>24</v>
      </c>
      <c r="E131" s="8" t="s">
        <v>212</v>
      </c>
      <c r="F131" s="8" t="s">
        <v>636</v>
      </c>
      <c r="G131" s="8" t="s">
        <v>190</v>
      </c>
      <c r="H131" s="8" t="s">
        <v>42</v>
      </c>
      <c r="I131" s="8" t="s">
        <v>192</v>
      </c>
      <c r="J131" s="9" t="s">
        <v>112</v>
      </c>
      <c r="K131" s="10">
        <v>10</v>
      </c>
      <c r="L131" s="9">
        <v>13</v>
      </c>
      <c r="M131" s="9">
        <v>6</v>
      </c>
      <c r="N131" s="9"/>
      <c r="O131" s="9"/>
      <c r="P131" s="9">
        <v>2</v>
      </c>
      <c r="Q131" s="9"/>
      <c r="R131" s="9"/>
      <c r="S131" s="11">
        <f>IF(R131&lt;&gt;"",R131,ROUND((L131+M131+K131+IF(COUNT(N131:P131)&gt;0,AVERAGE(N131:P131),0))/(3+IF(COUNT(N131:P131)&gt;0,1,0)),1))</f>
        <v>7.8</v>
      </c>
      <c r="T131" s="7"/>
      <c r="U131" s="7"/>
      <c r="V131" s="7"/>
      <c r="W131" s="7"/>
      <c r="X131" s="7"/>
    </row>
    <row r="132" spans="1:24" ht="15.75" customHeight="1" x14ac:dyDescent="0.25">
      <c r="A132" s="8">
        <v>83</v>
      </c>
      <c r="B132" s="8" t="s">
        <v>535</v>
      </c>
      <c r="C132" s="15">
        <v>200000000</v>
      </c>
      <c r="D132" s="8" t="s">
        <v>24</v>
      </c>
      <c r="E132" s="8" t="s">
        <v>212</v>
      </c>
      <c r="F132" s="8" t="s">
        <v>151</v>
      </c>
      <c r="G132" s="8" t="s">
        <v>491</v>
      </c>
      <c r="H132" s="8" t="s">
        <v>42</v>
      </c>
      <c r="I132" s="8" t="s">
        <v>36</v>
      </c>
      <c r="J132" s="9" t="s">
        <v>112</v>
      </c>
      <c r="K132" s="10">
        <v>10</v>
      </c>
      <c r="L132" s="9">
        <v>10</v>
      </c>
      <c r="M132" s="9">
        <v>6</v>
      </c>
      <c r="N132" s="9"/>
      <c r="O132" s="9"/>
      <c r="P132" s="9">
        <v>5</v>
      </c>
      <c r="Q132" s="9"/>
      <c r="R132" s="9"/>
      <c r="S132" s="11">
        <f>IF(R132&lt;&gt;"",R132,ROUND((L132+M132+K132+IF(COUNT(N132:P132)&gt;0,AVERAGE(N132:P132),0))/(3+IF(COUNT(N132:P132)&gt;0,1,0)),1))</f>
        <v>7.8</v>
      </c>
      <c r="T132" s="7"/>
      <c r="U132" s="7"/>
      <c r="V132" s="7"/>
      <c r="W132" s="7"/>
      <c r="X132" s="7"/>
    </row>
    <row r="133" spans="1:24" ht="15.75" customHeight="1" x14ac:dyDescent="0.25">
      <c r="A133" s="8">
        <v>169</v>
      </c>
      <c r="B133" s="8" t="s">
        <v>857</v>
      </c>
      <c r="C133" s="8">
        <v>15000000</v>
      </c>
      <c r="D133" s="8" t="s">
        <v>24</v>
      </c>
      <c r="E133" s="8" t="s">
        <v>36</v>
      </c>
      <c r="F133" s="8" t="s">
        <v>415</v>
      </c>
      <c r="G133" s="8" t="s">
        <v>188</v>
      </c>
      <c r="H133" s="8" t="s">
        <v>42</v>
      </c>
      <c r="I133" s="8" t="s">
        <v>36</v>
      </c>
      <c r="J133" s="9" t="s">
        <v>95</v>
      </c>
      <c r="K133" s="10">
        <v>11</v>
      </c>
      <c r="L133" s="9">
        <v>7</v>
      </c>
      <c r="M133" s="9">
        <v>6</v>
      </c>
      <c r="N133" s="9"/>
      <c r="O133" s="9"/>
      <c r="P133" s="9">
        <v>7</v>
      </c>
      <c r="Q133" s="9">
        <v>9</v>
      </c>
      <c r="R133" s="9"/>
      <c r="S133" s="11">
        <f>IF(R133&lt;&gt;"",R133,ROUND((L133+M133+K133+IF(COUNT(N133:P133)&gt;0,AVERAGE(N133:P133),0))/(3+IF(COUNT(N133:P133)&gt;0,1,0)),1))</f>
        <v>7.8</v>
      </c>
      <c r="T133" s="7"/>
      <c r="U133" s="7"/>
      <c r="V133" s="7"/>
      <c r="W133" s="7"/>
      <c r="X133" s="7"/>
    </row>
    <row r="134" spans="1:24" ht="15.75" customHeight="1" x14ac:dyDescent="0.25">
      <c r="A134" s="8">
        <v>7</v>
      </c>
      <c r="B134" s="8" t="s">
        <v>81</v>
      </c>
      <c r="C134" s="8">
        <v>930000000</v>
      </c>
      <c r="D134" s="8" t="s">
        <v>24</v>
      </c>
      <c r="E134" s="8" t="s">
        <v>36</v>
      </c>
      <c r="F134" s="13" t="s">
        <v>231</v>
      </c>
      <c r="G134" s="8" t="s">
        <v>188</v>
      </c>
      <c r="H134" s="8" t="s">
        <v>42</v>
      </c>
      <c r="I134" s="8" t="s">
        <v>146</v>
      </c>
      <c r="J134" s="9" t="s">
        <v>112</v>
      </c>
      <c r="K134" s="10">
        <v>10</v>
      </c>
      <c r="L134" s="9">
        <v>5</v>
      </c>
      <c r="M134" s="9"/>
      <c r="N134" s="9"/>
      <c r="O134" s="9"/>
      <c r="P134" s="9">
        <v>16</v>
      </c>
      <c r="Q134" s="9">
        <v>14</v>
      </c>
      <c r="R134" s="9"/>
      <c r="S134" s="11">
        <f>IF(R134&lt;&gt;"",R134,ROUND((L134+M134+K134+IF(COUNT(N134:P134)&gt;0,AVERAGE(N134:P134),0))/(3+IF(COUNT(N134:P134)&gt;0,1,0)),1))</f>
        <v>7.8</v>
      </c>
      <c r="T134" s="7"/>
      <c r="U134" s="7"/>
      <c r="V134" s="7"/>
      <c r="W134" s="7"/>
      <c r="X134" s="7"/>
    </row>
    <row r="135" spans="1:24" ht="15.75" customHeight="1" x14ac:dyDescent="0.25">
      <c r="A135" s="8">
        <v>8</v>
      </c>
      <c r="B135" s="8" t="s">
        <v>89</v>
      </c>
      <c r="C135" s="8">
        <v>394000000</v>
      </c>
      <c r="D135" s="8" t="s">
        <v>125</v>
      </c>
      <c r="E135" s="8" t="s">
        <v>36</v>
      </c>
      <c r="F135" s="13" t="s">
        <v>231</v>
      </c>
      <c r="G135" s="8" t="s">
        <v>188</v>
      </c>
      <c r="H135" s="8" t="s">
        <v>42</v>
      </c>
      <c r="I135" s="8" t="s">
        <v>324</v>
      </c>
      <c r="J135" s="9" t="s">
        <v>112</v>
      </c>
      <c r="K135" s="10">
        <v>10</v>
      </c>
      <c r="L135" s="9">
        <v>13</v>
      </c>
      <c r="M135" s="9">
        <v>0</v>
      </c>
      <c r="N135" s="9"/>
      <c r="O135" s="9"/>
      <c r="P135" s="9"/>
      <c r="Q135" s="9">
        <v>14</v>
      </c>
      <c r="R135" s="9"/>
      <c r="S135" s="11">
        <f>IF(R135&lt;&gt;"",R135,ROUND((L135+M135+K135+IF(COUNT(N135:P135)&gt;0,AVERAGE(N135:P135),0))/(3+IF(COUNT(N135:P135)&gt;0,1,0)),1))</f>
        <v>7.7</v>
      </c>
      <c r="T135" s="7"/>
      <c r="U135" s="7"/>
      <c r="V135" s="7"/>
      <c r="W135" s="7"/>
      <c r="X135" s="7"/>
    </row>
    <row r="136" spans="1:24" ht="15.75" customHeight="1" x14ac:dyDescent="0.25">
      <c r="A136" s="8">
        <v>179</v>
      </c>
      <c r="B136" s="8" t="s">
        <v>884</v>
      </c>
      <c r="C136" s="8" t="s">
        <v>125</v>
      </c>
      <c r="D136" s="8" t="s">
        <v>125</v>
      </c>
      <c r="E136" s="8" t="s">
        <v>36</v>
      </c>
      <c r="F136" s="8" t="s">
        <v>501</v>
      </c>
      <c r="G136" s="8" t="s">
        <v>223</v>
      </c>
      <c r="H136" s="8" t="s">
        <v>42</v>
      </c>
      <c r="I136" s="8" t="s">
        <v>386</v>
      </c>
      <c r="J136" s="9" t="s">
        <v>424</v>
      </c>
      <c r="K136" s="10">
        <v>11</v>
      </c>
      <c r="L136" s="9">
        <v>9</v>
      </c>
      <c r="M136" s="9">
        <v>3</v>
      </c>
      <c r="N136" s="9"/>
      <c r="O136" s="9"/>
      <c r="P136" s="9"/>
      <c r="Q136" s="9"/>
      <c r="R136" s="9"/>
      <c r="S136" s="11">
        <f>IF(R136&lt;&gt;"",R136,ROUND((L136+M136+K136+IF(COUNT(N136:P136)&gt;0,AVERAGE(N136:P136),0))/(3+IF(COUNT(N136:P136)&gt;0,1,0)),1))</f>
        <v>7.7</v>
      </c>
      <c r="T136" s="7"/>
      <c r="U136" s="7"/>
      <c r="V136" s="7"/>
      <c r="W136" s="7"/>
      <c r="X136" s="7"/>
    </row>
    <row r="137" spans="1:24" ht="15.75" customHeight="1" x14ac:dyDescent="0.25">
      <c r="A137" s="8">
        <v>160</v>
      </c>
      <c r="B137" s="8" t="s">
        <v>830</v>
      </c>
      <c r="C137" s="8" t="s">
        <v>125</v>
      </c>
      <c r="D137" s="8" t="s">
        <v>125</v>
      </c>
      <c r="E137" s="8" t="s">
        <v>559</v>
      </c>
      <c r="F137" s="8" t="s">
        <v>514</v>
      </c>
      <c r="G137" s="8" t="s">
        <v>223</v>
      </c>
      <c r="H137" s="8" t="s">
        <v>42</v>
      </c>
      <c r="I137" s="8" t="s">
        <v>514</v>
      </c>
      <c r="J137" s="9" t="s">
        <v>112</v>
      </c>
      <c r="K137" s="10">
        <v>10</v>
      </c>
      <c r="L137" s="9">
        <v>8</v>
      </c>
      <c r="M137" s="9">
        <v>5</v>
      </c>
      <c r="N137" s="9"/>
      <c r="O137" s="9"/>
      <c r="P137" s="9"/>
      <c r="Q137" s="9"/>
      <c r="R137" s="9"/>
      <c r="S137" s="11">
        <f>IF(R137&lt;&gt;"",R137,ROUND((L137+M137+K137+IF(COUNT(N137:P137)&gt;0,AVERAGE(N137:P137),0))/(3+IF(COUNT(N137:P137)&gt;0,1,0)),1))</f>
        <v>7.7</v>
      </c>
      <c r="T137" s="7"/>
      <c r="U137" s="7"/>
      <c r="V137" s="7"/>
      <c r="W137" s="7"/>
      <c r="X137" s="7"/>
    </row>
    <row r="138" spans="1:24" ht="15.75" customHeight="1" x14ac:dyDescent="0.25">
      <c r="A138" s="8">
        <v>63</v>
      </c>
      <c r="B138" s="8" t="s">
        <v>421</v>
      </c>
      <c r="C138" s="8">
        <v>500</v>
      </c>
      <c r="D138" s="8" t="s">
        <v>125</v>
      </c>
      <c r="E138" s="8" t="s">
        <v>36</v>
      </c>
      <c r="F138" s="8" t="s">
        <v>381</v>
      </c>
      <c r="G138" s="8" t="s">
        <v>188</v>
      </c>
      <c r="H138" s="8" t="s">
        <v>42</v>
      </c>
      <c r="I138" s="8" t="s">
        <v>386</v>
      </c>
      <c r="J138" s="9" t="s">
        <v>424</v>
      </c>
      <c r="K138" s="10">
        <v>11</v>
      </c>
      <c r="L138" s="9">
        <v>11</v>
      </c>
      <c r="M138" s="9"/>
      <c r="N138" s="9"/>
      <c r="O138" s="9"/>
      <c r="P138" s="9"/>
      <c r="Q138" s="9">
        <v>9</v>
      </c>
      <c r="R138" s="9"/>
      <c r="S138" s="11">
        <f>IF(R138&lt;&gt;"",R138,ROUND((L138+M138+K138+IF(COUNT(N138:P138)&gt;0,AVERAGE(N138:P138),0))/(3+IF(COUNT(N138:P138)&gt;0,1,0)),1))</f>
        <v>7.3</v>
      </c>
      <c r="T138" s="7"/>
      <c r="U138" s="7"/>
      <c r="V138" s="7"/>
      <c r="W138" s="7"/>
      <c r="X138" s="7"/>
    </row>
    <row r="139" spans="1:24" ht="15.75" customHeight="1" x14ac:dyDescent="0.25">
      <c r="A139" s="8">
        <v>126</v>
      </c>
      <c r="B139" s="8" t="s">
        <v>708</v>
      </c>
      <c r="C139" s="8" t="s">
        <v>36</v>
      </c>
      <c r="D139" s="8" t="s">
        <v>125</v>
      </c>
      <c r="E139" s="8" t="s">
        <v>36</v>
      </c>
      <c r="F139" s="8" t="s">
        <v>862</v>
      </c>
      <c r="G139" s="8" t="s">
        <v>188</v>
      </c>
      <c r="H139" s="8" t="s">
        <v>42</v>
      </c>
      <c r="I139" s="8" t="s">
        <v>36</v>
      </c>
      <c r="J139" s="9" t="s">
        <v>373</v>
      </c>
      <c r="K139" s="10">
        <v>12</v>
      </c>
      <c r="L139" s="9">
        <v>10</v>
      </c>
      <c r="M139" s="9">
        <v>0</v>
      </c>
      <c r="N139" s="9"/>
      <c r="O139" s="9"/>
      <c r="P139" s="9"/>
      <c r="Q139" s="9">
        <v>4</v>
      </c>
      <c r="R139" s="9"/>
      <c r="S139" s="11">
        <f>IF(R139&lt;&gt;"",R139,ROUND((L139+M139+K139+IF(COUNT(N139:P139)&gt;0,AVERAGE(N139:P139),0))/(3+IF(COUNT(N139:P139)&gt;0,1,0)),1))</f>
        <v>7.3</v>
      </c>
      <c r="T139" s="7"/>
      <c r="U139" s="7"/>
      <c r="V139" s="7"/>
      <c r="W139" s="7"/>
      <c r="X139" s="7"/>
    </row>
    <row r="140" spans="1:24" ht="15.75" customHeight="1" x14ac:dyDescent="0.25">
      <c r="A140" s="8">
        <v>189</v>
      </c>
      <c r="B140" s="8" t="s">
        <v>899</v>
      </c>
      <c r="C140" s="8" t="s">
        <v>36</v>
      </c>
      <c r="D140" s="8" t="s">
        <v>24</v>
      </c>
      <c r="E140" s="8" t="s">
        <v>212</v>
      </c>
      <c r="F140" s="8" t="s">
        <v>636</v>
      </c>
      <c r="G140" s="8" t="s">
        <v>900</v>
      </c>
      <c r="H140" s="8" t="s">
        <v>42</v>
      </c>
      <c r="I140" s="8" t="s">
        <v>192</v>
      </c>
      <c r="J140" s="9" t="s">
        <v>112</v>
      </c>
      <c r="K140" s="10">
        <v>10</v>
      </c>
      <c r="L140" s="9">
        <v>10</v>
      </c>
      <c r="M140" s="9">
        <v>4</v>
      </c>
      <c r="N140" s="9"/>
      <c r="O140" s="9"/>
      <c r="P140" s="9">
        <v>5</v>
      </c>
      <c r="Q140" s="9"/>
      <c r="R140" s="9"/>
      <c r="S140" s="11">
        <f>IF(R140&lt;&gt;"",R140,ROUND((L140+M140+K140+IF(COUNT(N140:P140)&gt;0,AVERAGE(N140:P140),0))/(3+IF(COUNT(N140:P140)&gt;0,1,0)),1))</f>
        <v>7.3</v>
      </c>
      <c r="T140" s="7"/>
      <c r="U140" s="7"/>
      <c r="V140" s="7"/>
      <c r="W140" s="7"/>
      <c r="X140" s="7"/>
    </row>
    <row r="141" spans="1:24" ht="15.75" customHeight="1" x14ac:dyDescent="0.25">
      <c r="A141" s="8">
        <v>72</v>
      </c>
      <c r="B141" s="8" t="s">
        <v>471</v>
      </c>
      <c r="C141" s="8">
        <v>200000000</v>
      </c>
      <c r="D141" s="8" t="s">
        <v>24</v>
      </c>
      <c r="E141" s="8" t="s">
        <v>36</v>
      </c>
      <c r="F141" s="8" t="s">
        <v>475</v>
      </c>
      <c r="G141" s="8" t="s">
        <v>31</v>
      </c>
      <c r="H141" s="8" t="s">
        <v>42</v>
      </c>
      <c r="I141" s="8" t="s">
        <v>36</v>
      </c>
      <c r="J141" s="9" t="s">
        <v>112</v>
      </c>
      <c r="K141" s="10">
        <v>10</v>
      </c>
      <c r="L141" s="9">
        <v>7</v>
      </c>
      <c r="M141" s="9">
        <v>5</v>
      </c>
      <c r="N141" s="9"/>
      <c r="O141" s="9"/>
      <c r="P141" s="9">
        <v>7</v>
      </c>
      <c r="Q141" s="9">
        <v>5</v>
      </c>
      <c r="R141" s="9"/>
      <c r="S141" s="11">
        <f>IF(R141&lt;&gt;"",R141,ROUND((L141+M141+K141+IF(COUNT(N141:P141)&gt;0,AVERAGE(N141:P141),0))/(3+IF(COUNT(N141:P141)&gt;0,1,0)),1))</f>
        <v>7.3</v>
      </c>
      <c r="T141" s="7"/>
      <c r="U141" s="7"/>
      <c r="V141" s="7"/>
      <c r="W141" s="7"/>
      <c r="X141" s="7"/>
    </row>
    <row r="142" spans="1:24" ht="15.75" customHeight="1" x14ac:dyDescent="0.25">
      <c r="A142" s="8">
        <v>24</v>
      </c>
      <c r="B142" s="8" t="s">
        <v>211</v>
      </c>
      <c r="C142" s="8">
        <v>100000000</v>
      </c>
      <c r="D142" s="8" t="s">
        <v>125</v>
      </c>
      <c r="E142" s="8" t="s">
        <v>36</v>
      </c>
      <c r="F142" s="8" t="s">
        <v>151</v>
      </c>
      <c r="G142" s="8" t="s">
        <v>188</v>
      </c>
      <c r="H142" s="8" t="s">
        <v>42</v>
      </c>
      <c r="I142" s="8" t="s">
        <v>129</v>
      </c>
      <c r="J142" s="9" t="s">
        <v>112</v>
      </c>
      <c r="K142" s="10">
        <v>10</v>
      </c>
      <c r="L142" s="9">
        <v>7</v>
      </c>
      <c r="M142" s="9">
        <v>5</v>
      </c>
      <c r="N142" s="9"/>
      <c r="O142" s="9"/>
      <c r="P142" s="9"/>
      <c r="Q142" s="9"/>
      <c r="R142" s="9"/>
      <c r="S142" s="11">
        <f>IF(R142&lt;&gt;"",R142,ROUND((L142+M142+K142+IF(COUNT(N142:P142)&gt;0,AVERAGE(N142:P142),0))/(3+IF(COUNT(N142:P142)&gt;0,1,0)),1))</f>
        <v>7.3</v>
      </c>
      <c r="T142" s="7"/>
      <c r="U142" s="7"/>
      <c r="V142" s="7"/>
      <c r="W142" s="7"/>
      <c r="X142" s="7"/>
    </row>
    <row r="143" spans="1:24" ht="15.75" customHeight="1" x14ac:dyDescent="0.25">
      <c r="A143" s="8">
        <v>123</v>
      </c>
      <c r="B143" s="8" t="s">
        <v>695</v>
      </c>
      <c r="C143" s="15">
        <v>17000000</v>
      </c>
      <c r="D143" s="15" t="s">
        <v>125</v>
      </c>
      <c r="E143" s="8" t="s">
        <v>36</v>
      </c>
      <c r="F143" s="8" t="s">
        <v>932</v>
      </c>
      <c r="G143" s="8" t="s">
        <v>31</v>
      </c>
      <c r="H143" s="8" t="s">
        <v>42</v>
      </c>
      <c r="I143" s="8" t="s">
        <v>129</v>
      </c>
      <c r="J143" s="9" t="s">
        <v>112</v>
      </c>
      <c r="K143" s="10">
        <v>10</v>
      </c>
      <c r="L143" s="9">
        <v>11</v>
      </c>
      <c r="M143" s="9">
        <v>0</v>
      </c>
      <c r="N143" s="9"/>
      <c r="O143" s="9"/>
      <c r="P143" s="9"/>
      <c r="Q143" s="9">
        <v>2</v>
      </c>
      <c r="R143" s="9"/>
      <c r="S143" s="11">
        <f>IF(R143&lt;&gt;"",R143,ROUND((L143+M143+K143+IF(COUNT(N143:P143)&gt;0,AVERAGE(N143:P143),0))/(3+IF(COUNT(N143:P143)&gt;0,1,0)),1))</f>
        <v>7</v>
      </c>
      <c r="T143" s="7"/>
      <c r="U143" s="7"/>
      <c r="V143" s="7"/>
      <c r="W143" s="7"/>
      <c r="X143" s="7"/>
    </row>
    <row r="144" spans="1:24" ht="15.75" customHeight="1" x14ac:dyDescent="0.25">
      <c r="A144" s="8">
        <v>110</v>
      </c>
      <c r="B144" s="8" t="s">
        <v>656</v>
      </c>
      <c r="C144" s="8" t="s">
        <v>36</v>
      </c>
      <c r="D144" s="8" t="s">
        <v>125</v>
      </c>
      <c r="E144" s="8" t="s">
        <v>212</v>
      </c>
      <c r="F144" s="8" t="s">
        <v>409</v>
      </c>
      <c r="G144" s="8" t="s">
        <v>410</v>
      </c>
      <c r="H144" s="8" t="s">
        <v>42</v>
      </c>
      <c r="I144" s="8" t="s">
        <v>36</v>
      </c>
      <c r="J144" s="9" t="s">
        <v>112</v>
      </c>
      <c r="K144" s="10">
        <v>10</v>
      </c>
      <c r="L144" s="9">
        <v>11</v>
      </c>
      <c r="M144" s="9"/>
      <c r="N144" s="9"/>
      <c r="O144" s="9"/>
      <c r="P144" s="9"/>
      <c r="Q144" s="9"/>
      <c r="R144" s="9"/>
      <c r="S144" s="11">
        <f>IF(R144&lt;&gt;"",R144,ROUND((L144+M144+K144+IF(COUNT(N144:P144)&gt;0,AVERAGE(N144:P144),0))/(3+IF(COUNT(N144:P144)&gt;0,1,0)),1))</f>
        <v>7</v>
      </c>
      <c r="T144" s="7"/>
      <c r="U144" s="7"/>
      <c r="V144" s="7"/>
      <c r="W144" s="7"/>
      <c r="X144" s="7"/>
    </row>
    <row r="145" spans="1:24" ht="15.75" customHeight="1" x14ac:dyDescent="0.25">
      <c r="A145" s="8">
        <v>174</v>
      </c>
      <c r="B145" s="8" t="s">
        <v>873</v>
      </c>
      <c r="C145" s="8" t="s">
        <v>125</v>
      </c>
      <c r="D145" s="8" t="s">
        <v>125</v>
      </c>
      <c r="E145" s="8" t="s">
        <v>36</v>
      </c>
      <c r="F145" s="8" t="s">
        <v>501</v>
      </c>
      <c r="G145" s="8" t="s">
        <v>223</v>
      </c>
      <c r="H145" s="8" t="s">
        <v>42</v>
      </c>
      <c r="I145" s="8" t="s">
        <v>386</v>
      </c>
      <c r="J145" s="9" t="s">
        <v>424</v>
      </c>
      <c r="K145" s="10">
        <v>11</v>
      </c>
      <c r="L145" s="9">
        <v>8</v>
      </c>
      <c r="M145" s="9">
        <v>2</v>
      </c>
      <c r="N145" s="9"/>
      <c r="O145" s="9"/>
      <c r="P145" s="9"/>
      <c r="Q145" s="9"/>
      <c r="R145" s="9"/>
      <c r="S145" s="11">
        <f>IF(R145&lt;&gt;"",R145,ROUND((L145+M145+K145+IF(COUNT(N145:P145)&gt;0,AVERAGE(N145:P145),0))/(3+IF(COUNT(N145:P145)&gt;0,1,0)),1))</f>
        <v>7</v>
      </c>
      <c r="T145" s="7"/>
      <c r="U145" s="7"/>
      <c r="V145" s="7"/>
      <c r="W145" s="7"/>
      <c r="X145" s="7"/>
    </row>
    <row r="146" spans="1:24" ht="15.75" customHeight="1" x14ac:dyDescent="0.25">
      <c r="A146" s="8">
        <v>171</v>
      </c>
      <c r="B146" s="8" t="s">
        <v>860</v>
      </c>
      <c r="C146" s="8">
        <v>58000000</v>
      </c>
      <c r="D146" s="8" t="s">
        <v>36</v>
      </c>
      <c r="E146" s="8" t="s">
        <v>36</v>
      </c>
      <c r="F146" s="8" t="s">
        <v>415</v>
      </c>
      <c r="G146" s="8" t="s">
        <v>188</v>
      </c>
      <c r="H146" s="8" t="s">
        <v>36</v>
      </c>
      <c r="I146" s="8" t="s">
        <v>36</v>
      </c>
      <c r="J146" s="9" t="s">
        <v>112</v>
      </c>
      <c r="K146" s="10">
        <v>10</v>
      </c>
      <c r="L146" s="9">
        <v>8</v>
      </c>
      <c r="M146" s="9">
        <v>3</v>
      </c>
      <c r="N146" s="9"/>
      <c r="O146" s="9"/>
      <c r="P146" s="9"/>
      <c r="Q146" s="9">
        <v>9</v>
      </c>
      <c r="R146" s="9"/>
      <c r="S146" s="11">
        <f>IF(R146&lt;&gt;"",R146,ROUND((L146+M146+K146+IF(COUNT(N146:P146)&gt;0,AVERAGE(N146:P146),0))/(3+IF(COUNT(N146:P146)&gt;0,1,0)),1))</f>
        <v>7</v>
      </c>
      <c r="T146" s="7"/>
      <c r="U146" s="7"/>
      <c r="V146" s="7"/>
      <c r="W146" s="7"/>
      <c r="X146" s="7"/>
    </row>
    <row r="147" spans="1:24" ht="15.75" customHeight="1" x14ac:dyDescent="0.25">
      <c r="A147" s="8">
        <v>167</v>
      </c>
      <c r="B147" s="8" t="s">
        <v>850</v>
      </c>
      <c r="C147" s="8" t="s">
        <v>36</v>
      </c>
      <c r="D147" s="8" t="s">
        <v>24</v>
      </c>
      <c r="E147" s="8" t="s">
        <v>36</v>
      </c>
      <c r="F147" s="8" t="s">
        <v>415</v>
      </c>
      <c r="G147" s="8" t="s">
        <v>188</v>
      </c>
      <c r="H147" s="8" t="s">
        <v>42</v>
      </c>
      <c r="I147" s="8" t="s">
        <v>36</v>
      </c>
      <c r="J147" s="9" t="s">
        <v>112</v>
      </c>
      <c r="K147" s="10">
        <v>10</v>
      </c>
      <c r="L147" s="9">
        <v>7</v>
      </c>
      <c r="M147" s="9">
        <v>0</v>
      </c>
      <c r="N147" s="9"/>
      <c r="O147" s="9"/>
      <c r="P147" s="9">
        <v>11</v>
      </c>
      <c r="Q147" s="9">
        <v>9</v>
      </c>
      <c r="R147" s="9"/>
      <c r="S147" s="11">
        <f>IF(R147&lt;&gt;"",R147,ROUND((L147+M147+K147+IF(COUNT(N147:P147)&gt;0,AVERAGE(N147:P147),0))/(3+IF(COUNT(N147:P147)&gt;0,1,0)),1))</f>
        <v>7</v>
      </c>
      <c r="T147" s="7"/>
      <c r="U147" s="7"/>
      <c r="V147" s="7"/>
      <c r="W147" s="7"/>
      <c r="X147" s="7"/>
    </row>
    <row r="148" spans="1:24" ht="15.75" customHeight="1" x14ac:dyDescent="0.25">
      <c r="A148" s="8">
        <v>4</v>
      </c>
      <c r="B148" s="8" t="s">
        <v>56</v>
      </c>
      <c r="C148" s="8">
        <v>500000000</v>
      </c>
      <c r="D148" s="8" t="s">
        <v>125</v>
      </c>
      <c r="E148" s="8" t="s">
        <v>559</v>
      </c>
      <c r="F148" s="13" t="s">
        <v>231</v>
      </c>
      <c r="G148" s="8" t="s">
        <v>188</v>
      </c>
      <c r="H148" s="8" t="s">
        <v>42</v>
      </c>
      <c r="I148" s="8" t="s">
        <v>129</v>
      </c>
      <c r="J148" s="9" t="s">
        <v>112</v>
      </c>
      <c r="K148" s="10">
        <v>10</v>
      </c>
      <c r="L148" s="9">
        <v>6</v>
      </c>
      <c r="M148" s="9">
        <v>5</v>
      </c>
      <c r="N148" s="9"/>
      <c r="O148" s="9"/>
      <c r="P148" s="9"/>
      <c r="Q148" s="9">
        <v>14</v>
      </c>
      <c r="R148" s="9"/>
      <c r="S148" s="11">
        <f>IF(R148&lt;&gt;"",R148,ROUND((L148+M148+K148+IF(COUNT(N148:P148)&gt;0,AVERAGE(N148:P148),0))/(3+IF(COUNT(N148:P148)&gt;0,1,0)),1))</f>
        <v>7</v>
      </c>
      <c r="T148" s="7"/>
      <c r="U148" s="7"/>
      <c r="V148" s="7"/>
      <c r="W148" s="7"/>
      <c r="X148" s="7"/>
    </row>
    <row r="149" spans="1:24" ht="15.75" customHeight="1" x14ac:dyDescent="0.25">
      <c r="A149" s="8">
        <v>136</v>
      </c>
      <c r="B149" s="8" t="s">
        <v>739</v>
      </c>
      <c r="C149" s="8" t="s">
        <v>125</v>
      </c>
      <c r="D149" s="8" t="s">
        <v>21</v>
      </c>
      <c r="E149" s="8" t="s">
        <v>36</v>
      </c>
      <c r="F149" s="8" t="s">
        <v>933</v>
      </c>
      <c r="G149" s="8" t="s">
        <v>934</v>
      </c>
      <c r="H149" s="8" t="s">
        <v>110</v>
      </c>
      <c r="I149" s="8" t="s">
        <v>571</v>
      </c>
      <c r="J149" s="9" t="s">
        <v>112</v>
      </c>
      <c r="K149" s="10">
        <v>10</v>
      </c>
      <c r="L149" s="9">
        <v>10</v>
      </c>
      <c r="M149" s="9"/>
      <c r="N149" s="9">
        <v>7</v>
      </c>
      <c r="O149" s="9"/>
      <c r="P149" s="9"/>
      <c r="Q149" s="9"/>
      <c r="R149" s="9"/>
      <c r="S149" s="11">
        <f>IF(R149&lt;&gt;"",R149,ROUND((L149+M149+K149+IF(COUNT(N149:P149)&gt;0,AVERAGE(N149:P149),0))/(3+IF(COUNT(N149:P149)&gt;0,1,0)),1))</f>
        <v>6.8</v>
      </c>
      <c r="T149" s="7"/>
      <c r="U149" s="7"/>
      <c r="V149" s="7"/>
      <c r="W149" s="7"/>
      <c r="X149" s="7"/>
    </row>
    <row r="150" spans="1:24" ht="15.75" customHeight="1" x14ac:dyDescent="0.25">
      <c r="A150" s="8">
        <v>170</v>
      </c>
      <c r="B150" s="8" t="s">
        <v>859</v>
      </c>
      <c r="C150" s="8" t="s">
        <v>36</v>
      </c>
      <c r="D150" s="8" t="s">
        <v>24</v>
      </c>
      <c r="E150" s="8" t="s">
        <v>36</v>
      </c>
      <c r="F150" s="8" t="s">
        <v>415</v>
      </c>
      <c r="G150" s="8" t="s">
        <v>188</v>
      </c>
      <c r="H150" s="8" t="s">
        <v>42</v>
      </c>
      <c r="I150" s="8" t="s">
        <v>36</v>
      </c>
      <c r="J150" s="9" t="s">
        <v>112</v>
      </c>
      <c r="K150" s="10">
        <v>10</v>
      </c>
      <c r="L150" s="9">
        <v>1</v>
      </c>
      <c r="M150" s="9">
        <v>0</v>
      </c>
      <c r="N150" s="9"/>
      <c r="O150" s="9"/>
      <c r="P150" s="9">
        <v>16</v>
      </c>
      <c r="Q150" s="9">
        <v>9</v>
      </c>
      <c r="R150" s="9"/>
      <c r="S150" s="11">
        <f>IF(R150&lt;&gt;"",R150,ROUND((L150+M150+K150+IF(COUNT(N150:P150)&gt;0,AVERAGE(N150:P150),0))/(3+IF(COUNT(N150:P150)&gt;0,1,0)),1))</f>
        <v>6.8</v>
      </c>
      <c r="T150" s="7"/>
      <c r="U150" s="7"/>
      <c r="V150" s="7"/>
      <c r="W150" s="7"/>
      <c r="X150" s="7"/>
    </row>
    <row r="151" spans="1:24" ht="15.75" customHeight="1" x14ac:dyDescent="0.25">
      <c r="A151" s="8">
        <v>121</v>
      </c>
      <c r="B151" s="8" t="s">
        <v>684</v>
      </c>
      <c r="C151" s="8" t="s">
        <v>36</v>
      </c>
      <c r="D151" s="8" t="s">
        <v>125</v>
      </c>
      <c r="E151" s="8" t="s">
        <v>36</v>
      </c>
      <c r="F151" s="8" t="s">
        <v>151</v>
      </c>
      <c r="G151" s="8" t="s">
        <v>31</v>
      </c>
      <c r="H151" s="8" t="s">
        <v>42</v>
      </c>
      <c r="I151" s="8" t="s">
        <v>129</v>
      </c>
      <c r="J151" s="9" t="s">
        <v>112</v>
      </c>
      <c r="K151" s="10">
        <v>10</v>
      </c>
      <c r="L151" s="9">
        <v>10</v>
      </c>
      <c r="M151" s="9">
        <v>0</v>
      </c>
      <c r="N151" s="9"/>
      <c r="O151" s="9"/>
      <c r="P151" s="9"/>
      <c r="Q151" s="9"/>
      <c r="R151" s="9"/>
      <c r="S151" s="11">
        <f>IF(R151&lt;&gt;"",R151,ROUND((L151+M151+K151+IF(COUNT(N151:P151)&gt;0,AVERAGE(N151:P151),0))/(3+IF(COUNT(N151:P151)&gt;0,1,0)),1))</f>
        <v>6.7</v>
      </c>
      <c r="T151" s="7"/>
      <c r="U151" s="7"/>
      <c r="V151" s="7"/>
      <c r="W151" s="7"/>
      <c r="X151" s="7"/>
    </row>
    <row r="152" spans="1:24" ht="15.75" customHeight="1" x14ac:dyDescent="0.25">
      <c r="A152" s="8">
        <v>127</v>
      </c>
      <c r="B152" s="8" t="s">
        <v>711</v>
      </c>
      <c r="C152" s="8" t="s">
        <v>36</v>
      </c>
      <c r="D152" s="8" t="s">
        <v>125</v>
      </c>
      <c r="E152" s="8" t="s">
        <v>36</v>
      </c>
      <c r="F152" s="8" t="s">
        <v>862</v>
      </c>
      <c r="G152" s="8" t="s">
        <v>188</v>
      </c>
      <c r="H152" s="8" t="s">
        <v>42</v>
      </c>
      <c r="I152" s="8" t="s">
        <v>36</v>
      </c>
      <c r="J152" s="9" t="s">
        <v>373</v>
      </c>
      <c r="K152" s="10">
        <v>12</v>
      </c>
      <c r="L152" s="9">
        <v>8</v>
      </c>
      <c r="M152" s="9">
        <v>0</v>
      </c>
      <c r="N152" s="9"/>
      <c r="O152" s="9"/>
      <c r="P152" s="9"/>
      <c r="Q152" s="9">
        <v>4</v>
      </c>
      <c r="R152" s="9"/>
      <c r="S152" s="11">
        <f>IF(R152&lt;&gt;"",R152,ROUND((L152+M152+K152+IF(COUNT(N152:P152)&gt;0,AVERAGE(N152:P152),0))/(3+IF(COUNT(N152:P152)&gt;0,1,0)),1))</f>
        <v>6.7</v>
      </c>
      <c r="T152" s="7"/>
      <c r="U152" s="7"/>
      <c r="V152" s="7"/>
      <c r="W152" s="7"/>
      <c r="X152" s="7"/>
    </row>
    <row r="153" spans="1:24" ht="15.75" customHeight="1" x14ac:dyDescent="0.25">
      <c r="A153" s="8">
        <v>51</v>
      </c>
      <c r="B153" s="8" t="s">
        <v>364</v>
      </c>
      <c r="C153" s="8" t="s">
        <v>36</v>
      </c>
      <c r="D153" s="8" t="s">
        <v>24</v>
      </c>
      <c r="E153" s="8" t="s">
        <v>36</v>
      </c>
      <c r="F153" s="13" t="s">
        <v>90</v>
      </c>
      <c r="G153" s="8" t="s">
        <v>223</v>
      </c>
      <c r="H153" s="8" t="s">
        <v>42</v>
      </c>
      <c r="I153" s="8" t="s">
        <v>299</v>
      </c>
      <c r="J153" s="9" t="s">
        <v>112</v>
      </c>
      <c r="K153" s="10">
        <v>10</v>
      </c>
      <c r="L153" s="9">
        <v>6</v>
      </c>
      <c r="M153" s="9">
        <v>4</v>
      </c>
      <c r="N153" s="9"/>
      <c r="O153" s="9"/>
      <c r="P153" s="9">
        <v>6</v>
      </c>
      <c r="Q153" s="9">
        <v>16</v>
      </c>
      <c r="R153" s="9"/>
      <c r="S153" s="11">
        <f>IF(R153&lt;&gt;"",R153,ROUND((L153+M153+K153+IF(COUNT(N153:P153)&gt;0,AVERAGE(N153:P153),0))/(3+IF(COUNT(N153:P153)&gt;0,1,0)),1))</f>
        <v>6.5</v>
      </c>
      <c r="T153" s="7"/>
      <c r="U153" s="7"/>
      <c r="V153" s="7"/>
      <c r="W153" s="7"/>
      <c r="X153" s="7"/>
    </row>
    <row r="154" spans="1:24" ht="15.75" customHeight="1" x14ac:dyDescent="0.25">
      <c r="A154" s="8">
        <v>80</v>
      </c>
      <c r="B154" s="8" t="s">
        <v>524</v>
      </c>
      <c r="C154" s="8">
        <v>500000000</v>
      </c>
      <c r="D154" s="8" t="s">
        <v>24</v>
      </c>
      <c r="E154" s="8" t="s">
        <v>212</v>
      </c>
      <c r="F154" s="8" t="s">
        <v>151</v>
      </c>
      <c r="G154" s="8" t="s">
        <v>152</v>
      </c>
      <c r="H154" s="8" t="s">
        <v>42</v>
      </c>
      <c r="I154" s="8" t="s">
        <v>36</v>
      </c>
      <c r="J154" s="9" t="s">
        <v>112</v>
      </c>
      <c r="K154" s="10">
        <v>10</v>
      </c>
      <c r="L154" s="9">
        <v>5</v>
      </c>
      <c r="M154" s="9">
        <v>9</v>
      </c>
      <c r="N154" s="9"/>
      <c r="O154" s="9"/>
      <c r="P154" s="9">
        <v>2</v>
      </c>
      <c r="Q154" s="9"/>
      <c r="R154" s="9"/>
      <c r="S154" s="11">
        <f>IF(R154&lt;&gt;"",R154,ROUND((L154+M154+K154+IF(COUNT(N154:P154)&gt;0,AVERAGE(N154:P154),0))/(3+IF(COUNT(N154:P154)&gt;0,1,0)),1))</f>
        <v>6.5</v>
      </c>
      <c r="T154" s="7"/>
      <c r="U154" s="7"/>
      <c r="V154" s="7"/>
      <c r="W154" s="7"/>
      <c r="X154" s="7"/>
    </row>
    <row r="155" spans="1:24" ht="15.75" customHeight="1" x14ac:dyDescent="0.25">
      <c r="A155" s="8">
        <v>173</v>
      </c>
      <c r="B155" s="8" t="s">
        <v>871</v>
      </c>
      <c r="C155" s="8" t="s">
        <v>125</v>
      </c>
      <c r="D155" s="8" t="s">
        <v>24</v>
      </c>
      <c r="E155" s="8" t="s">
        <v>36</v>
      </c>
      <c r="F155" s="8" t="s">
        <v>151</v>
      </c>
      <c r="G155" s="8" t="s">
        <v>118</v>
      </c>
      <c r="H155" s="8" t="s">
        <v>110</v>
      </c>
      <c r="I155" s="8" t="s">
        <v>382</v>
      </c>
      <c r="J155" s="9" t="s">
        <v>112</v>
      </c>
      <c r="K155" s="10">
        <v>10</v>
      </c>
      <c r="L155" s="9">
        <v>10</v>
      </c>
      <c r="M155" s="9"/>
      <c r="N155" s="9"/>
      <c r="O155" s="9"/>
      <c r="P155" s="9">
        <v>5</v>
      </c>
      <c r="Q155" s="9"/>
      <c r="R155" s="9"/>
      <c r="S155" s="11">
        <f>IF(R155&lt;&gt;"",R155,ROUND((L155+M155+K155+IF(COUNT(N155:P155)&gt;0,AVERAGE(N155:P155),0))/(3+IF(COUNT(N155:P155)&gt;0,1,0)),1))</f>
        <v>6.3</v>
      </c>
      <c r="T155" s="7"/>
      <c r="U155" s="7"/>
      <c r="V155" s="7"/>
      <c r="W155" s="7"/>
      <c r="X155" s="7"/>
    </row>
    <row r="156" spans="1:24" ht="15.75" customHeight="1" x14ac:dyDescent="0.25">
      <c r="A156" s="8">
        <v>137</v>
      </c>
      <c r="B156" s="8" t="s">
        <v>744</v>
      </c>
      <c r="C156" s="8" t="s">
        <v>125</v>
      </c>
      <c r="D156" s="8" t="s">
        <v>21</v>
      </c>
      <c r="E156" s="8" t="s">
        <v>36</v>
      </c>
      <c r="F156" s="8" t="s">
        <v>933</v>
      </c>
      <c r="G156" s="8" t="s">
        <v>934</v>
      </c>
      <c r="H156" s="8" t="s">
        <v>42</v>
      </c>
      <c r="I156" s="8" t="s">
        <v>571</v>
      </c>
      <c r="J156" s="9" t="s">
        <v>112</v>
      </c>
      <c r="K156" s="10">
        <v>10</v>
      </c>
      <c r="L156" s="9">
        <v>9</v>
      </c>
      <c r="M156" s="9"/>
      <c r="N156" s="9">
        <v>6</v>
      </c>
      <c r="O156" s="9"/>
      <c r="P156" s="9"/>
      <c r="Q156" s="9"/>
      <c r="R156" s="9"/>
      <c r="S156" s="11">
        <f>IF(R156&lt;&gt;"",R156,ROUND((L156+M156+K156+IF(COUNT(N156:P156)&gt;0,AVERAGE(N156:P156),0))/(3+IF(COUNT(N156:P156)&gt;0,1,0)),1))</f>
        <v>6.3</v>
      </c>
      <c r="T156" s="7"/>
      <c r="U156" s="7"/>
      <c r="V156" s="7"/>
      <c r="W156" s="7"/>
      <c r="X156" s="7"/>
    </row>
    <row r="157" spans="1:24" ht="15.75" customHeight="1" x14ac:dyDescent="0.25">
      <c r="A157" s="8">
        <v>152</v>
      </c>
      <c r="B157" s="8" t="s">
        <v>798</v>
      </c>
      <c r="C157" s="8" t="s">
        <v>125</v>
      </c>
      <c r="D157" s="8" t="s">
        <v>125</v>
      </c>
      <c r="E157" s="8" t="s">
        <v>36</v>
      </c>
      <c r="F157" s="8" t="s">
        <v>127</v>
      </c>
      <c r="G157" s="8" t="s">
        <v>188</v>
      </c>
      <c r="H157" s="8" t="s">
        <v>42</v>
      </c>
      <c r="I157" s="8" t="s">
        <v>93</v>
      </c>
      <c r="J157" s="9" t="s">
        <v>112</v>
      </c>
      <c r="K157" s="10">
        <v>10</v>
      </c>
      <c r="L157" s="9">
        <v>9</v>
      </c>
      <c r="M157" s="9"/>
      <c r="N157" s="9"/>
      <c r="O157" s="9"/>
      <c r="P157" s="9"/>
      <c r="Q157" s="9">
        <v>20</v>
      </c>
      <c r="R157" s="9">
        <v>14</v>
      </c>
      <c r="S157" s="11">
        <f>IF(R157&lt;&gt;"",R157,ROUND((L157+M157+K157+IF(COUNT(N157:P157)&gt;0,AVERAGE(N157:P157),0))/(3+IF(COUNT(N157:P157)&gt;0,1,0)),1))</f>
        <v>14</v>
      </c>
      <c r="T157" s="7"/>
      <c r="U157" s="7"/>
      <c r="V157" s="7"/>
      <c r="W157" s="7"/>
      <c r="X157" s="7"/>
    </row>
    <row r="158" spans="1:24" ht="15.75" customHeight="1" x14ac:dyDescent="0.25">
      <c r="A158" s="8">
        <v>22</v>
      </c>
      <c r="B158" s="8" t="s">
        <v>201</v>
      </c>
      <c r="C158" s="8">
        <v>7800000</v>
      </c>
      <c r="D158" s="8" t="s">
        <v>125</v>
      </c>
      <c r="E158" s="8" t="s">
        <v>36</v>
      </c>
      <c r="F158" s="8" t="s">
        <v>935</v>
      </c>
      <c r="G158" s="8" t="s">
        <v>354</v>
      </c>
      <c r="H158" s="8" t="s">
        <v>42</v>
      </c>
      <c r="I158" s="8" t="s">
        <v>129</v>
      </c>
      <c r="J158" s="9" t="s">
        <v>112</v>
      </c>
      <c r="K158" s="10">
        <v>10</v>
      </c>
      <c r="L158" s="9">
        <v>9</v>
      </c>
      <c r="M158" s="9">
        <v>0</v>
      </c>
      <c r="N158" s="9"/>
      <c r="O158" s="9"/>
      <c r="P158" s="9"/>
      <c r="Q158" s="9"/>
      <c r="R158" s="9"/>
      <c r="S158" s="11">
        <f>IF(R158&lt;&gt;"",R158,ROUND((L158+M158+K158+IF(COUNT(N158:P158)&gt;0,AVERAGE(N158:P158),0))/(3+IF(COUNT(N158:P158)&gt;0,1,0)),1))</f>
        <v>6.3</v>
      </c>
      <c r="T158" s="7"/>
      <c r="U158" s="7"/>
      <c r="V158" s="7"/>
      <c r="W158" s="7"/>
      <c r="X158" s="7"/>
    </row>
    <row r="159" spans="1:24" ht="15.75" customHeight="1" x14ac:dyDescent="0.25">
      <c r="A159" s="8">
        <v>145</v>
      </c>
      <c r="B159" s="8" t="s">
        <v>776</v>
      </c>
      <c r="C159" s="8" t="s">
        <v>125</v>
      </c>
      <c r="D159" s="8" t="s">
        <v>125</v>
      </c>
      <c r="E159" s="8" t="s">
        <v>36</v>
      </c>
      <c r="F159" s="8" t="s">
        <v>936</v>
      </c>
      <c r="G159" s="8" t="s">
        <v>931</v>
      </c>
      <c r="H159" s="8" t="s">
        <v>42</v>
      </c>
      <c r="I159" s="8" t="s">
        <v>773</v>
      </c>
      <c r="J159" s="9" t="s">
        <v>112</v>
      </c>
      <c r="K159" s="10">
        <v>10</v>
      </c>
      <c r="L159" s="9">
        <v>9</v>
      </c>
      <c r="M159" s="9">
        <v>0</v>
      </c>
      <c r="N159" s="9"/>
      <c r="O159" s="9"/>
      <c r="P159" s="9"/>
      <c r="Q159" s="9"/>
      <c r="R159" s="9"/>
      <c r="S159" s="11">
        <f>IF(R159&lt;&gt;"",R159,ROUND((L159+M159+K159+IF(COUNT(N159:P159)&gt;0,AVERAGE(N159:P159),0))/(3+IF(COUNT(N159:P159)&gt;0,1,0)),1))</f>
        <v>6.3</v>
      </c>
      <c r="T159" s="7"/>
      <c r="U159" s="7"/>
      <c r="V159" s="7"/>
      <c r="W159" s="7"/>
      <c r="X159" s="7"/>
    </row>
    <row r="160" spans="1:24" ht="15.75" customHeight="1" x14ac:dyDescent="0.25">
      <c r="A160" s="8">
        <v>36</v>
      </c>
      <c r="B160" s="8" t="s">
        <v>288</v>
      </c>
      <c r="C160" s="8" t="s">
        <v>36</v>
      </c>
      <c r="D160" s="8" t="s">
        <v>36</v>
      </c>
      <c r="E160" s="8" t="s">
        <v>36</v>
      </c>
      <c r="F160" s="13" t="s">
        <v>108</v>
      </c>
      <c r="G160" s="8" t="s">
        <v>223</v>
      </c>
      <c r="H160" s="8" t="s">
        <v>110</v>
      </c>
      <c r="I160" s="8" t="s">
        <v>36</v>
      </c>
      <c r="J160" s="9" t="s">
        <v>112</v>
      </c>
      <c r="K160" s="10">
        <v>10</v>
      </c>
      <c r="L160" s="9">
        <v>9</v>
      </c>
      <c r="M160" s="9"/>
      <c r="N160" s="9"/>
      <c r="O160" s="9"/>
      <c r="P160" s="9"/>
      <c r="Q160" s="9">
        <v>18</v>
      </c>
      <c r="R160" s="9"/>
      <c r="S160" s="11">
        <f>IF(R160&lt;&gt;"",R160,ROUND((L160+M160+K160+IF(COUNT(N160:P160)&gt;0,AVERAGE(N160:P160),0))/(3+IF(COUNT(N160:P160)&gt;0,1,0)),1))</f>
        <v>6.3</v>
      </c>
      <c r="T160" s="7"/>
      <c r="U160" s="7"/>
      <c r="V160" s="7"/>
      <c r="W160" s="7"/>
      <c r="X160" s="7"/>
    </row>
    <row r="161" spans="1:24" ht="15.75" customHeight="1" x14ac:dyDescent="0.25">
      <c r="A161" s="8">
        <v>106</v>
      </c>
      <c r="B161" s="8" t="s">
        <v>637</v>
      </c>
      <c r="C161" s="8" t="s">
        <v>36</v>
      </c>
      <c r="D161" s="8" t="s">
        <v>24</v>
      </c>
      <c r="E161" s="8" t="s">
        <v>212</v>
      </c>
      <c r="F161" s="8" t="s">
        <v>409</v>
      </c>
      <c r="G161" s="8" t="s">
        <v>410</v>
      </c>
      <c r="H161" s="8" t="s">
        <v>42</v>
      </c>
      <c r="I161" s="8" t="s">
        <v>36</v>
      </c>
      <c r="J161" s="9" t="s">
        <v>112</v>
      </c>
      <c r="K161" s="10">
        <v>10</v>
      </c>
      <c r="L161" s="9">
        <v>7</v>
      </c>
      <c r="M161" s="9">
        <v>5</v>
      </c>
      <c r="N161" s="9"/>
      <c r="O161" s="9"/>
      <c r="P161" s="9">
        <v>3</v>
      </c>
      <c r="Q161" s="9"/>
      <c r="R161" s="9"/>
      <c r="S161" s="11">
        <f>IF(R161&lt;&gt;"",R161,ROUND((L161+M161+K161+IF(COUNT(N161:P161)&gt;0,AVERAGE(N161:P161),0))/(3+IF(COUNT(N161:P161)&gt;0,1,0)),1))</f>
        <v>6.3</v>
      </c>
      <c r="T161" s="7"/>
      <c r="U161" s="7"/>
      <c r="V161" s="7"/>
      <c r="W161" s="7"/>
      <c r="X161" s="7"/>
    </row>
    <row r="162" spans="1:24" ht="15.75" customHeight="1" x14ac:dyDescent="0.25">
      <c r="A162" s="8">
        <v>195</v>
      </c>
      <c r="B162" s="8" t="s">
        <v>915</v>
      </c>
      <c r="C162" s="8" t="s">
        <v>36</v>
      </c>
      <c r="D162" s="8" t="s">
        <v>24</v>
      </c>
      <c r="E162" s="8" t="s">
        <v>212</v>
      </c>
      <c r="F162" s="8" t="s">
        <v>189</v>
      </c>
      <c r="G162" s="8" t="s">
        <v>223</v>
      </c>
      <c r="H162" s="8" t="s">
        <v>42</v>
      </c>
      <c r="I162" s="8" t="s">
        <v>192</v>
      </c>
      <c r="J162" s="9" t="s">
        <v>112</v>
      </c>
      <c r="K162" s="10">
        <v>10</v>
      </c>
      <c r="L162" s="9">
        <v>5</v>
      </c>
      <c r="M162" s="9">
        <v>3</v>
      </c>
      <c r="N162" s="9"/>
      <c r="O162" s="9"/>
      <c r="P162" s="9">
        <v>7</v>
      </c>
      <c r="Q162" s="9"/>
      <c r="R162" s="9"/>
      <c r="S162" s="11">
        <f>IF(R162&lt;&gt;"",R162,ROUND((L162+M162+K162+IF(COUNT(N162:P162)&gt;0,AVERAGE(N162:P162),0))/(3+IF(COUNT(N162:P162)&gt;0,1,0)),1))</f>
        <v>6.3</v>
      </c>
      <c r="T162" s="7"/>
      <c r="U162" s="7"/>
      <c r="V162" s="7"/>
      <c r="W162" s="7"/>
      <c r="X162" s="7"/>
    </row>
    <row r="163" spans="1:24" ht="15.75" customHeight="1" x14ac:dyDescent="0.25">
      <c r="A163" s="8">
        <v>109</v>
      </c>
      <c r="B163" s="8" t="s">
        <v>651</v>
      </c>
      <c r="C163" s="8" t="s">
        <v>36</v>
      </c>
      <c r="D163" s="8" t="s">
        <v>36</v>
      </c>
      <c r="E163" s="8" t="s">
        <v>212</v>
      </c>
      <c r="F163" s="8" t="s">
        <v>409</v>
      </c>
      <c r="G163" s="8" t="s">
        <v>410</v>
      </c>
      <c r="H163" s="8" t="s">
        <v>42</v>
      </c>
      <c r="I163" s="8" t="s">
        <v>36</v>
      </c>
      <c r="J163" s="9" t="s">
        <v>112</v>
      </c>
      <c r="K163" s="10">
        <v>10</v>
      </c>
      <c r="L163" s="9">
        <v>8</v>
      </c>
      <c r="M163" s="9"/>
      <c r="N163" s="9"/>
      <c r="O163" s="9"/>
      <c r="P163" s="9"/>
      <c r="Q163" s="9"/>
      <c r="R163" s="9"/>
      <c r="S163" s="11">
        <f>IF(R163&lt;&gt;"",R163,ROUND((L163+M163+K163+IF(COUNT(N163:P163)&gt;0,AVERAGE(N163:P163),0))/(3+IF(COUNT(N163:P163)&gt;0,1,0)),1))</f>
        <v>6</v>
      </c>
      <c r="T163" s="7"/>
      <c r="U163" s="7"/>
      <c r="V163" s="7"/>
      <c r="W163" s="7"/>
      <c r="X163" s="7"/>
    </row>
    <row r="164" spans="1:24" ht="15.75" customHeight="1" x14ac:dyDescent="0.25">
      <c r="A164" s="8">
        <v>141</v>
      </c>
      <c r="B164" s="8" t="s">
        <v>761</v>
      </c>
      <c r="C164" s="8" t="s">
        <v>36</v>
      </c>
      <c r="D164" s="8" t="s">
        <v>125</v>
      </c>
      <c r="E164" s="8" t="s">
        <v>36</v>
      </c>
      <c r="F164" s="8" t="s">
        <v>560</v>
      </c>
      <c r="G164" s="8" t="s">
        <v>223</v>
      </c>
      <c r="H164" s="8" t="s">
        <v>36</v>
      </c>
      <c r="I164" s="8" t="s">
        <v>560</v>
      </c>
      <c r="J164" s="9" t="s">
        <v>563</v>
      </c>
      <c r="K164" s="10">
        <v>10</v>
      </c>
      <c r="L164" s="9">
        <v>8</v>
      </c>
      <c r="M164" s="9"/>
      <c r="N164" s="9"/>
      <c r="O164" s="9"/>
      <c r="P164" s="9"/>
      <c r="Q164" s="9"/>
      <c r="R164" s="9"/>
      <c r="S164" s="11">
        <f>IF(R164&lt;&gt;"",R164,ROUND((L164+M164+K164+IF(COUNT(N164:P164)&gt;0,AVERAGE(N164:P164),0))/(3+IF(COUNT(N164:P164)&gt;0,1,0)),1))</f>
        <v>6</v>
      </c>
      <c r="T164" s="7"/>
      <c r="U164" s="7"/>
      <c r="V164" s="7"/>
      <c r="W164" s="7"/>
      <c r="X164" s="7"/>
    </row>
    <row r="165" spans="1:24" ht="15.75" customHeight="1" x14ac:dyDescent="0.25">
      <c r="A165" s="8">
        <v>168</v>
      </c>
      <c r="B165" s="8" t="s">
        <v>853</v>
      </c>
      <c r="C165" s="8" t="s">
        <v>36</v>
      </c>
      <c r="D165" s="8" t="s">
        <v>24</v>
      </c>
      <c r="E165" s="8" t="s">
        <v>36</v>
      </c>
      <c r="F165" s="8" t="s">
        <v>415</v>
      </c>
      <c r="G165" s="8" t="s">
        <v>188</v>
      </c>
      <c r="H165" s="8" t="s">
        <v>42</v>
      </c>
      <c r="I165" s="8" t="s">
        <v>36</v>
      </c>
      <c r="J165" s="9" t="s">
        <v>112</v>
      </c>
      <c r="K165" s="10">
        <v>10</v>
      </c>
      <c r="L165" s="9">
        <v>8</v>
      </c>
      <c r="M165" s="9">
        <v>0</v>
      </c>
      <c r="N165" s="9"/>
      <c r="O165" s="9"/>
      <c r="P165" s="9">
        <v>5</v>
      </c>
      <c r="Q165" s="9">
        <v>9</v>
      </c>
      <c r="R165" s="9"/>
      <c r="S165" s="11">
        <f>IF(R165&lt;&gt;"",R165,ROUND((L165+M165+K165+IF(COUNT(N165:P165)&gt;0,AVERAGE(N165:P165),0))/(3+IF(COUNT(N165:P165)&gt;0,1,0)),1))</f>
        <v>5.8</v>
      </c>
      <c r="T165" s="7"/>
      <c r="U165" s="7"/>
      <c r="V165" s="7"/>
      <c r="W165" s="7"/>
      <c r="X165" s="7"/>
    </row>
    <row r="166" spans="1:24" ht="15.75" customHeight="1" x14ac:dyDescent="0.25">
      <c r="A166" s="8">
        <v>147</v>
      </c>
      <c r="B166" s="8" t="s">
        <v>784</v>
      </c>
      <c r="C166" s="8" t="s">
        <v>36</v>
      </c>
      <c r="D166" s="8" t="s">
        <v>24</v>
      </c>
      <c r="E166" s="8" t="s">
        <v>36</v>
      </c>
      <c r="F166" s="8" t="s">
        <v>551</v>
      </c>
      <c r="G166" s="8" t="s">
        <v>188</v>
      </c>
      <c r="H166" s="8" t="s">
        <v>42</v>
      </c>
      <c r="I166" s="8" t="s">
        <v>36</v>
      </c>
      <c r="J166" s="9" t="s">
        <v>112</v>
      </c>
      <c r="K166" s="10">
        <v>10</v>
      </c>
      <c r="L166" s="9">
        <v>5</v>
      </c>
      <c r="M166" s="9">
        <v>0</v>
      </c>
      <c r="N166" s="9"/>
      <c r="O166" s="9"/>
      <c r="P166" s="9">
        <v>8</v>
      </c>
      <c r="Q166" s="9">
        <v>4</v>
      </c>
      <c r="R166" s="9"/>
      <c r="S166" s="11">
        <f>IF(R166&lt;&gt;"",R166,ROUND((L166+M166+K166+IF(COUNT(N166:P166)&gt;0,AVERAGE(N166:P166),0))/(3+IF(COUNT(N166:P166)&gt;0,1,0)),1))</f>
        <v>5.8</v>
      </c>
      <c r="T166" s="7"/>
      <c r="U166" s="7"/>
      <c r="V166" s="7"/>
      <c r="W166" s="7"/>
      <c r="X166" s="7"/>
    </row>
    <row r="167" spans="1:24" ht="15.75" customHeight="1" x14ac:dyDescent="0.25">
      <c r="A167" s="8">
        <v>25</v>
      </c>
      <c r="B167" s="8" t="s">
        <v>218</v>
      </c>
      <c r="C167" s="8">
        <v>3189000000</v>
      </c>
      <c r="D167" s="8" t="s">
        <v>24</v>
      </c>
      <c r="E167" s="8" t="s">
        <v>36</v>
      </c>
      <c r="F167" s="8" t="s">
        <v>225</v>
      </c>
      <c r="G167" s="8" t="s">
        <v>31</v>
      </c>
      <c r="H167" s="8" t="s">
        <v>42</v>
      </c>
      <c r="I167" s="8" t="s">
        <v>129</v>
      </c>
      <c r="J167" s="9" t="s">
        <v>112</v>
      </c>
      <c r="K167" s="10">
        <v>10</v>
      </c>
      <c r="L167" s="9">
        <v>5</v>
      </c>
      <c r="M167" s="9"/>
      <c r="N167" s="9"/>
      <c r="O167" s="9"/>
      <c r="P167" s="9">
        <v>8</v>
      </c>
      <c r="Q167" s="9">
        <v>12</v>
      </c>
      <c r="R167" s="9"/>
      <c r="S167" s="11">
        <f>IF(R167&lt;&gt;"",R167,ROUND((L167+M167+K167+IF(COUNT(N167:P167)&gt;0,AVERAGE(N167:P167),0))/(3+IF(COUNT(N167:P167)&gt;0,1,0)),1))</f>
        <v>5.8</v>
      </c>
      <c r="T167" s="7"/>
      <c r="U167" s="7"/>
      <c r="V167" s="7"/>
      <c r="W167" s="7"/>
      <c r="X167" s="7"/>
    </row>
    <row r="168" spans="1:24" ht="15.75" customHeight="1" x14ac:dyDescent="0.25">
      <c r="A168" s="8">
        <v>124</v>
      </c>
      <c r="B168" s="8" t="s">
        <v>697</v>
      </c>
      <c r="C168" s="8">
        <v>12000000</v>
      </c>
      <c r="D168" s="8" t="s">
        <v>125</v>
      </c>
      <c r="E168" s="8" t="s">
        <v>36</v>
      </c>
      <c r="F168" s="8" t="s">
        <v>932</v>
      </c>
      <c r="G168" s="8" t="s">
        <v>223</v>
      </c>
      <c r="H168" s="8" t="s">
        <v>42</v>
      </c>
      <c r="I168" s="8" t="s">
        <v>129</v>
      </c>
      <c r="J168" s="9" t="s">
        <v>112</v>
      </c>
      <c r="K168" s="10">
        <v>10</v>
      </c>
      <c r="L168" s="9">
        <v>7</v>
      </c>
      <c r="M168" s="9">
        <v>0</v>
      </c>
      <c r="N168" s="9"/>
      <c r="O168" s="9"/>
      <c r="P168" s="9"/>
      <c r="Q168" s="9">
        <v>2</v>
      </c>
      <c r="R168" s="9"/>
      <c r="S168" s="11">
        <f>IF(R168&lt;&gt;"",R168,ROUND((L168+M168+K168+IF(COUNT(N168:P168)&gt;0,AVERAGE(N168:P168),0))/(3+IF(COUNT(N168:P168)&gt;0,1,0)),1))</f>
        <v>5.7</v>
      </c>
      <c r="T168" s="7"/>
      <c r="U168" s="7"/>
      <c r="V168" s="7"/>
      <c r="W168" s="7"/>
      <c r="X168" s="7"/>
    </row>
    <row r="169" spans="1:24" ht="15.75" customHeight="1" x14ac:dyDescent="0.25">
      <c r="A169" s="8">
        <v>45</v>
      </c>
      <c r="B169" s="8" t="s">
        <v>336</v>
      </c>
      <c r="C169" s="8" t="s">
        <v>36</v>
      </c>
      <c r="D169" s="8" t="s">
        <v>24</v>
      </c>
      <c r="E169" s="8" t="s">
        <v>36</v>
      </c>
      <c r="F169" s="8" t="s">
        <v>332</v>
      </c>
      <c r="G169" s="8" t="s">
        <v>188</v>
      </c>
      <c r="H169" s="8" t="s">
        <v>42</v>
      </c>
      <c r="I169" s="8" t="s">
        <v>36</v>
      </c>
      <c r="J169" s="9" t="s">
        <v>112</v>
      </c>
      <c r="K169" s="10">
        <v>10</v>
      </c>
      <c r="L169" s="9">
        <v>5</v>
      </c>
      <c r="M169" s="9">
        <v>2</v>
      </c>
      <c r="N169" s="9"/>
      <c r="O169" s="9"/>
      <c r="P169" s="9"/>
      <c r="Q169" s="9">
        <v>12</v>
      </c>
      <c r="R169" s="9"/>
      <c r="S169" s="11">
        <f>IF(R169&lt;&gt;"",R169,ROUND((L169+M169+K169+IF(COUNT(N169:P169)&gt;0,AVERAGE(N169:P169),0))/(3+IF(COUNT(N169:P169)&gt;0,1,0)),1))</f>
        <v>5.7</v>
      </c>
      <c r="T169" s="7"/>
      <c r="U169" s="7"/>
      <c r="V169" s="7"/>
      <c r="W169" s="7"/>
      <c r="X169" s="7"/>
    </row>
    <row r="170" spans="1:24" ht="15.75" customHeight="1" x14ac:dyDescent="0.25">
      <c r="A170" s="8">
        <v>128</v>
      </c>
      <c r="B170" s="8" t="s">
        <v>715</v>
      </c>
      <c r="C170" s="8" t="s">
        <v>125</v>
      </c>
      <c r="D170" s="8" t="s">
        <v>125</v>
      </c>
      <c r="E170" s="8" t="s">
        <v>36</v>
      </c>
      <c r="F170" s="8" t="s">
        <v>151</v>
      </c>
      <c r="G170" s="8" t="s">
        <v>188</v>
      </c>
      <c r="H170" s="8" t="s">
        <v>110</v>
      </c>
      <c r="I170" s="8" t="s">
        <v>129</v>
      </c>
      <c r="J170" s="9" t="s">
        <v>112</v>
      </c>
      <c r="K170" s="10">
        <v>10</v>
      </c>
      <c r="L170" s="9">
        <v>6</v>
      </c>
      <c r="M170" s="9">
        <v>0</v>
      </c>
      <c r="N170" s="9"/>
      <c r="O170" s="9"/>
      <c r="P170" s="9"/>
      <c r="Q170" s="9"/>
      <c r="R170" s="9"/>
      <c r="S170" s="11">
        <f>IF(R170&lt;&gt;"",R170,ROUND((L170+M170+K170+IF(COUNT(N170:P170)&gt;0,AVERAGE(N170:P170),0))/(3+IF(COUNT(N170:P170)&gt;0,1,0)),1))</f>
        <v>5.3</v>
      </c>
      <c r="T170" s="7"/>
      <c r="U170" s="7"/>
      <c r="V170" s="7"/>
      <c r="W170" s="7"/>
      <c r="X170" s="7"/>
    </row>
    <row r="171" spans="1:24" ht="15.75" customHeight="1" x14ac:dyDescent="0.25">
      <c r="A171" s="8">
        <v>122</v>
      </c>
      <c r="B171" s="8" t="s">
        <v>689</v>
      </c>
      <c r="C171" s="8">
        <v>16000000</v>
      </c>
      <c r="D171" s="8" t="s">
        <v>125</v>
      </c>
      <c r="E171" s="8" t="s">
        <v>36</v>
      </c>
      <c r="F171" s="8" t="s">
        <v>937</v>
      </c>
      <c r="G171" s="8" t="s">
        <v>31</v>
      </c>
      <c r="H171" s="8" t="s">
        <v>42</v>
      </c>
      <c r="I171" s="8" t="s">
        <v>129</v>
      </c>
      <c r="J171" s="9" t="s">
        <v>112</v>
      </c>
      <c r="K171" s="10">
        <v>10</v>
      </c>
      <c r="L171" s="9">
        <v>6</v>
      </c>
      <c r="M171" s="9">
        <v>0</v>
      </c>
      <c r="N171" s="9"/>
      <c r="O171" s="9"/>
      <c r="P171" s="9"/>
      <c r="Q171" s="9">
        <v>1</v>
      </c>
      <c r="R171" s="9"/>
      <c r="S171" s="11">
        <f>IF(R171&lt;&gt;"",R171,ROUND((L171+M171+K171+IF(COUNT(N171:P171)&gt;0,AVERAGE(N171:P171),0))/(3+IF(COUNT(N171:P171)&gt;0,1,0)),1))</f>
        <v>5.3</v>
      </c>
      <c r="T171" s="7"/>
      <c r="U171" s="7"/>
      <c r="V171" s="7"/>
      <c r="W171" s="7"/>
      <c r="X171" s="7"/>
    </row>
    <row r="172" spans="1:24" ht="15.75" customHeight="1" x14ac:dyDescent="0.25">
      <c r="A172" s="8">
        <v>64</v>
      </c>
      <c r="B172" s="8" t="s">
        <v>428</v>
      </c>
      <c r="C172" s="8" t="s">
        <v>36</v>
      </c>
      <c r="D172" s="8" t="s">
        <v>125</v>
      </c>
      <c r="E172" s="8" t="s">
        <v>36</v>
      </c>
      <c r="F172" s="8" t="s">
        <v>381</v>
      </c>
      <c r="G172" s="8" t="s">
        <v>188</v>
      </c>
      <c r="H172" s="8" t="s">
        <v>42</v>
      </c>
      <c r="I172" s="8" t="s">
        <v>36</v>
      </c>
      <c r="J172" s="9" t="s">
        <v>112</v>
      </c>
      <c r="K172" s="10">
        <v>10</v>
      </c>
      <c r="L172" s="9">
        <v>6</v>
      </c>
      <c r="M172" s="9">
        <v>0</v>
      </c>
      <c r="N172" s="9"/>
      <c r="O172" s="9"/>
      <c r="P172" s="9"/>
      <c r="Q172" s="9">
        <v>9</v>
      </c>
      <c r="R172" s="9"/>
      <c r="S172" s="11">
        <f>IF(R172&lt;&gt;"",R172,ROUND((L172+M172+K172+IF(COUNT(N172:P172)&gt;0,AVERAGE(N172:P172),0))/(3+IF(COUNT(N172:P172)&gt;0,1,0)),1))</f>
        <v>5.3</v>
      </c>
      <c r="T172" s="7"/>
      <c r="U172" s="7"/>
      <c r="V172" s="7"/>
      <c r="W172" s="7"/>
      <c r="X172" s="7"/>
    </row>
    <row r="173" spans="1:24" ht="15.75" customHeight="1" x14ac:dyDescent="0.25">
      <c r="A173" s="8">
        <v>65</v>
      </c>
      <c r="B173" s="8" t="s">
        <v>431</v>
      </c>
      <c r="C173" s="8" t="s">
        <v>36</v>
      </c>
      <c r="D173" s="8" t="s">
        <v>125</v>
      </c>
      <c r="E173" s="8" t="s">
        <v>36</v>
      </c>
      <c r="F173" s="8" t="s">
        <v>381</v>
      </c>
      <c r="G173" s="8" t="s">
        <v>188</v>
      </c>
      <c r="H173" s="8" t="s">
        <v>42</v>
      </c>
      <c r="I173" s="8" t="s">
        <v>36</v>
      </c>
      <c r="J173" s="9" t="s">
        <v>112</v>
      </c>
      <c r="K173" s="10">
        <v>10</v>
      </c>
      <c r="L173" s="9">
        <v>6</v>
      </c>
      <c r="M173" s="9">
        <v>0</v>
      </c>
      <c r="N173" s="9"/>
      <c r="O173" s="9"/>
      <c r="P173" s="9"/>
      <c r="Q173" s="9">
        <v>9</v>
      </c>
      <c r="R173" s="9"/>
      <c r="S173" s="11">
        <f>IF(R173&lt;&gt;"",R173,ROUND((L173+M173+K173+IF(COUNT(N173:P173)&gt;0,AVERAGE(N173:P173),0))/(3+IF(COUNT(N173:P173)&gt;0,1,0)),1))</f>
        <v>5.3</v>
      </c>
      <c r="T173" s="7"/>
      <c r="U173" s="7"/>
      <c r="V173" s="7"/>
      <c r="W173" s="7"/>
      <c r="X173" s="7"/>
    </row>
    <row r="174" spans="1:24" ht="30" customHeight="1" x14ac:dyDescent="0.25">
      <c r="A174" s="8">
        <v>158</v>
      </c>
      <c r="B174" s="8" t="s">
        <v>821</v>
      </c>
      <c r="C174" s="8" t="s">
        <v>36</v>
      </c>
      <c r="D174" s="8" t="s">
        <v>24</v>
      </c>
      <c r="E174" s="8" t="s">
        <v>36</v>
      </c>
      <c r="F174" s="8" t="s">
        <v>938</v>
      </c>
      <c r="G174" s="8" t="s">
        <v>223</v>
      </c>
      <c r="H174" s="8" t="s">
        <v>42</v>
      </c>
      <c r="I174" s="8" t="s">
        <v>36</v>
      </c>
      <c r="J174" s="9" t="s">
        <v>373</v>
      </c>
      <c r="K174" s="10">
        <v>10</v>
      </c>
      <c r="L174" s="9">
        <v>6</v>
      </c>
      <c r="M174" s="9">
        <v>0</v>
      </c>
      <c r="N174" s="9"/>
      <c r="O174" s="9"/>
      <c r="P174" s="9"/>
      <c r="Q174" s="9">
        <v>3</v>
      </c>
      <c r="R174" s="9"/>
      <c r="S174" s="11">
        <f>IF(R174&lt;&gt;"",R174,ROUND((L174+M174+K174+IF(COUNT(N174:P174)&gt;0,AVERAGE(N174:P174),0))/(3+IF(COUNT(N174:P174)&gt;0,1,0)),1))</f>
        <v>5.3</v>
      </c>
      <c r="T174" s="7"/>
      <c r="U174" s="7"/>
      <c r="V174" s="7"/>
      <c r="W174" s="7"/>
      <c r="X174" s="7"/>
    </row>
    <row r="175" spans="1:24" ht="15.75" customHeight="1" x14ac:dyDescent="0.25">
      <c r="A175" s="8">
        <v>103</v>
      </c>
      <c r="B175" s="8" t="s">
        <v>620</v>
      </c>
      <c r="C175" s="8">
        <v>35000000</v>
      </c>
      <c r="D175" s="8" t="s">
        <v>24</v>
      </c>
      <c r="E175" s="8" t="s">
        <v>36</v>
      </c>
      <c r="F175" s="8" t="s">
        <v>570</v>
      </c>
      <c r="G175" s="8" t="s">
        <v>758</v>
      </c>
      <c r="H175" s="8" t="s">
        <v>42</v>
      </c>
      <c r="I175" s="8" t="s">
        <v>36</v>
      </c>
      <c r="J175" s="9" t="s">
        <v>112</v>
      </c>
      <c r="K175" s="10">
        <v>10</v>
      </c>
      <c r="L175" s="9">
        <v>5</v>
      </c>
      <c r="M175" s="9">
        <v>0</v>
      </c>
      <c r="N175" s="9"/>
      <c r="O175" s="9"/>
      <c r="P175" s="9">
        <v>6</v>
      </c>
      <c r="Q175" s="9"/>
      <c r="R175" s="9"/>
      <c r="S175" s="11">
        <f>IF(R175&lt;&gt;"",R175,ROUND((L175+M175+K175+IF(COUNT(N175:P175)&gt;0,AVERAGE(N175:P175),0))/(3+IF(COUNT(N175:P175)&gt;0,1,0)),1))</f>
        <v>5.3</v>
      </c>
      <c r="T175" s="7"/>
      <c r="U175" s="7"/>
      <c r="V175" s="7"/>
      <c r="W175" s="7"/>
      <c r="X175" s="7"/>
    </row>
    <row r="176" spans="1:24" ht="15.75" customHeight="1" x14ac:dyDescent="0.25">
      <c r="A176" s="8">
        <v>9</v>
      </c>
      <c r="B176" s="8" t="s">
        <v>99</v>
      </c>
      <c r="C176" s="8">
        <v>383000000</v>
      </c>
      <c r="D176" s="8" t="s">
        <v>24</v>
      </c>
      <c r="E176" s="8" t="s">
        <v>36</v>
      </c>
      <c r="F176" s="13" t="s">
        <v>231</v>
      </c>
      <c r="G176" s="8" t="s">
        <v>188</v>
      </c>
      <c r="H176" s="8" t="s">
        <v>42</v>
      </c>
      <c r="I176" s="8" t="s">
        <v>146</v>
      </c>
      <c r="J176" s="9" t="s">
        <v>112</v>
      </c>
      <c r="K176" s="10">
        <v>10</v>
      </c>
      <c r="L176" s="9">
        <v>6</v>
      </c>
      <c r="M176" s="9"/>
      <c r="N176" s="9"/>
      <c r="O176" s="9"/>
      <c r="P176" s="9">
        <v>4</v>
      </c>
      <c r="Q176" s="9">
        <v>14</v>
      </c>
      <c r="R176" s="9"/>
      <c r="S176" s="11">
        <f>IF(R176&lt;&gt;"",R176,ROUND((L176+M176+K176+IF(COUNT(N176:P176)&gt;0,AVERAGE(N176:P176),0))/(3+IF(COUNT(N176:P176)&gt;0,1,0)),1))</f>
        <v>5</v>
      </c>
      <c r="T176" s="7"/>
      <c r="U176" s="7"/>
      <c r="V176" s="7"/>
      <c r="W176" s="7"/>
      <c r="X176" s="7"/>
    </row>
    <row r="177" spans="1:24" ht="15.75" customHeight="1" x14ac:dyDescent="0.25">
      <c r="A177" s="8">
        <v>143</v>
      </c>
      <c r="B177" s="8" t="s">
        <v>771</v>
      </c>
      <c r="C177" s="8" t="s">
        <v>125</v>
      </c>
      <c r="D177" s="8" t="s">
        <v>125</v>
      </c>
      <c r="E177" s="8" t="s">
        <v>36</v>
      </c>
      <c r="F177" s="8" t="s">
        <v>936</v>
      </c>
      <c r="G177" s="8" t="s">
        <v>354</v>
      </c>
      <c r="H177" s="8" t="s">
        <v>42</v>
      </c>
      <c r="I177" s="8" t="s">
        <v>773</v>
      </c>
      <c r="J177" s="9" t="s">
        <v>112</v>
      </c>
      <c r="K177" s="10">
        <v>10</v>
      </c>
      <c r="L177" s="9">
        <v>5</v>
      </c>
      <c r="M177" s="9">
        <v>0</v>
      </c>
      <c r="N177" s="9"/>
      <c r="O177" s="9"/>
      <c r="P177" s="9"/>
      <c r="Q177" s="9"/>
      <c r="R177" s="9"/>
      <c r="S177" s="11">
        <f>IF(R177&lt;&gt;"",R177,ROUND((L177+M177+K177+IF(COUNT(N177:P177)&gt;0,AVERAGE(N177:P177),0))/(3+IF(COUNT(N177:P177)&gt;0,1,0)),1))</f>
        <v>5</v>
      </c>
      <c r="T177" s="7"/>
      <c r="U177" s="7"/>
      <c r="V177" s="7"/>
      <c r="W177" s="7"/>
      <c r="X177" s="7"/>
    </row>
    <row r="178" spans="1:24" ht="15.75" customHeight="1" x14ac:dyDescent="0.25">
      <c r="A178" s="8">
        <v>3</v>
      </c>
      <c r="B178" s="8" t="s">
        <v>49</v>
      </c>
      <c r="C178" s="14">
        <v>366000000</v>
      </c>
      <c r="D178" s="8" t="s">
        <v>125</v>
      </c>
      <c r="E178" s="8" t="s">
        <v>36</v>
      </c>
      <c r="F178" s="13" t="s">
        <v>231</v>
      </c>
      <c r="G178" s="8" t="s">
        <v>188</v>
      </c>
      <c r="H178" s="8" t="s">
        <v>42</v>
      </c>
      <c r="I178" s="8" t="s">
        <v>129</v>
      </c>
      <c r="J178" s="9" t="s">
        <v>112</v>
      </c>
      <c r="K178" s="10">
        <v>10</v>
      </c>
      <c r="L178" s="9">
        <v>5</v>
      </c>
      <c r="M178" s="9">
        <v>0</v>
      </c>
      <c r="N178" s="9"/>
      <c r="O178" s="9"/>
      <c r="P178" s="9"/>
      <c r="Q178" s="9">
        <v>14</v>
      </c>
      <c r="R178" s="9"/>
      <c r="S178" s="11">
        <f>IF(R178&lt;&gt;"",R178,ROUND((L178+M178+K178+IF(COUNT(N178:P178)&gt;0,AVERAGE(N178:P178),0))/(3+IF(COUNT(N178:P178)&gt;0,1,0)),1))</f>
        <v>5</v>
      </c>
      <c r="T178" s="7"/>
      <c r="U178" s="7"/>
      <c r="V178" s="7"/>
      <c r="W178" s="7"/>
      <c r="X178" s="7"/>
    </row>
    <row r="179" spans="1:24" ht="15.75" customHeight="1" x14ac:dyDescent="0.25">
      <c r="A179" s="8">
        <v>102</v>
      </c>
      <c r="B179" s="8" t="s">
        <v>939</v>
      </c>
      <c r="C179" s="8">
        <v>24000000</v>
      </c>
      <c r="D179" s="8" t="s">
        <v>24</v>
      </c>
      <c r="E179" s="8" t="s">
        <v>36</v>
      </c>
      <c r="F179" s="8" t="s">
        <v>225</v>
      </c>
      <c r="G179" s="8" t="s">
        <v>758</v>
      </c>
      <c r="H179" s="8" t="s">
        <v>42</v>
      </c>
      <c r="I179" s="8" t="s">
        <v>36</v>
      </c>
      <c r="J179" s="9" t="s">
        <v>112</v>
      </c>
      <c r="K179" s="10">
        <v>10</v>
      </c>
      <c r="L179" s="9">
        <v>4</v>
      </c>
      <c r="M179" s="9">
        <v>0</v>
      </c>
      <c r="N179" s="9"/>
      <c r="O179" s="9"/>
      <c r="P179" s="9">
        <v>6</v>
      </c>
      <c r="Q179" s="9">
        <v>12</v>
      </c>
      <c r="R179" s="9"/>
      <c r="S179" s="11">
        <f>IF(R179&lt;&gt;"",R179,ROUND((L179+M179+K179+IF(COUNT(N179:P179)&gt;0,AVERAGE(N179:P179),0))/(3+IF(COUNT(N179:P179)&gt;0,1,0)),1))</f>
        <v>5</v>
      </c>
      <c r="T179" s="7"/>
      <c r="U179" s="7"/>
      <c r="V179" s="7"/>
      <c r="W179" s="7"/>
      <c r="X179" s="7"/>
    </row>
    <row r="180" spans="1:24" ht="15.75" customHeight="1" x14ac:dyDescent="0.25">
      <c r="A180" s="8">
        <v>144</v>
      </c>
      <c r="B180" s="8" t="s">
        <v>777</v>
      </c>
      <c r="C180" s="8" t="s">
        <v>125</v>
      </c>
      <c r="D180" s="8" t="s">
        <v>125</v>
      </c>
      <c r="E180" s="8" t="s">
        <v>125</v>
      </c>
      <c r="F180" s="8" t="s">
        <v>305</v>
      </c>
      <c r="G180" s="8" t="s">
        <v>931</v>
      </c>
      <c r="H180" s="8" t="s">
        <v>42</v>
      </c>
      <c r="I180" s="8" t="s">
        <v>773</v>
      </c>
      <c r="J180" s="9" t="s">
        <v>373</v>
      </c>
      <c r="K180" s="10">
        <v>12</v>
      </c>
      <c r="L180" s="9">
        <v>3</v>
      </c>
      <c r="M180" s="9">
        <v>0</v>
      </c>
      <c r="N180" s="9"/>
      <c r="O180" s="9"/>
      <c r="P180" s="9"/>
      <c r="Q180" s="9"/>
      <c r="R180" s="9"/>
      <c r="S180" s="11">
        <f>IF(R180&lt;&gt;"",R180,ROUND((L180+M180+K180+IF(COUNT(N180:P180)&gt;0,AVERAGE(N180:P180),0))/(3+IF(COUNT(N180:P180)&gt;0,1,0)),1))</f>
        <v>5</v>
      </c>
      <c r="T180" s="7"/>
      <c r="U180" s="7"/>
      <c r="V180" s="7"/>
      <c r="W180" s="7"/>
      <c r="X180" s="7"/>
    </row>
    <row r="181" spans="1:24" ht="15.75" customHeight="1" x14ac:dyDescent="0.25">
      <c r="A181" s="8">
        <v>148</v>
      </c>
      <c r="B181" s="8" t="s">
        <v>787</v>
      </c>
      <c r="C181" s="8" t="s">
        <v>36</v>
      </c>
      <c r="D181" s="8" t="s">
        <v>24</v>
      </c>
      <c r="E181" s="8" t="s">
        <v>36</v>
      </c>
      <c r="F181" s="8" t="s">
        <v>551</v>
      </c>
      <c r="G181" s="8" t="s">
        <v>188</v>
      </c>
      <c r="H181" s="8" t="s">
        <v>42</v>
      </c>
      <c r="I181" s="8" t="s">
        <v>36</v>
      </c>
      <c r="J181" s="9" t="s">
        <v>112</v>
      </c>
      <c r="K181" s="10">
        <v>10</v>
      </c>
      <c r="L181" s="9">
        <v>2</v>
      </c>
      <c r="M181" s="9">
        <v>0</v>
      </c>
      <c r="N181" s="9"/>
      <c r="O181" s="9"/>
      <c r="P181" s="9">
        <v>8</v>
      </c>
      <c r="Q181" s="9">
        <v>4</v>
      </c>
      <c r="R181" s="9"/>
      <c r="S181" s="11">
        <f>IF(R181&lt;&gt;"",R181,ROUND((L181+M181+K181+IF(COUNT(N181:P181)&gt;0,AVERAGE(N181:P181),0))/(3+IF(COUNT(N181:P181)&gt;0,1,0)),1))</f>
        <v>5</v>
      </c>
      <c r="T181" s="7"/>
      <c r="U181" s="7"/>
      <c r="V181" s="7"/>
      <c r="W181" s="7"/>
      <c r="X181" s="7"/>
    </row>
    <row r="182" spans="1:24" ht="15.75" customHeight="1" x14ac:dyDescent="0.25">
      <c r="A182" s="8">
        <v>133</v>
      </c>
      <c r="B182" s="8" t="s">
        <v>533</v>
      </c>
      <c r="C182" s="8" t="s">
        <v>125</v>
      </c>
      <c r="D182" s="8" t="s">
        <v>125</v>
      </c>
      <c r="E182" s="8" t="s">
        <v>125</v>
      </c>
      <c r="F182" s="8" t="s">
        <v>305</v>
      </c>
      <c r="G182" s="8" t="s">
        <v>223</v>
      </c>
      <c r="H182" s="8" t="s">
        <v>110</v>
      </c>
      <c r="I182" s="8" t="s">
        <v>129</v>
      </c>
      <c r="J182" s="9" t="s">
        <v>112</v>
      </c>
      <c r="K182" s="10">
        <v>10</v>
      </c>
      <c r="L182" s="9">
        <v>4</v>
      </c>
      <c r="M182" s="9">
        <v>0</v>
      </c>
      <c r="N182" s="9"/>
      <c r="O182" s="9"/>
      <c r="P182" s="9"/>
      <c r="Q182" s="9"/>
      <c r="R182" s="9"/>
      <c r="S182" s="11">
        <f>IF(R182&lt;&gt;"",R182,ROUND((L182+M182+K182+IF(COUNT(N182:P182)&gt;0,AVERAGE(N182:P182),0))/(3+IF(COUNT(N182:P182)&gt;0,1,0)),1))</f>
        <v>4.7</v>
      </c>
      <c r="T182" s="7"/>
      <c r="U182" s="7"/>
      <c r="V182" s="7"/>
      <c r="W182" s="7"/>
      <c r="X182" s="7"/>
    </row>
    <row r="183" spans="1:24" ht="15.75" customHeight="1" x14ac:dyDescent="0.25">
      <c r="A183" s="8">
        <v>149</v>
      </c>
      <c r="B183" s="8" t="s">
        <v>791</v>
      </c>
      <c r="C183" s="8" t="s">
        <v>36</v>
      </c>
      <c r="D183" s="8" t="s">
        <v>125</v>
      </c>
      <c r="E183" s="8" t="s">
        <v>36</v>
      </c>
      <c r="F183" s="8" t="s">
        <v>551</v>
      </c>
      <c r="G183" s="8" t="s">
        <v>188</v>
      </c>
      <c r="H183" s="8" t="s">
        <v>42</v>
      </c>
      <c r="I183" s="8" t="s">
        <v>36</v>
      </c>
      <c r="J183" s="9" t="s">
        <v>112</v>
      </c>
      <c r="K183" s="10">
        <v>10</v>
      </c>
      <c r="L183" s="9">
        <v>3</v>
      </c>
      <c r="M183" s="9">
        <v>0</v>
      </c>
      <c r="N183" s="9"/>
      <c r="O183" s="9"/>
      <c r="P183" s="9"/>
      <c r="Q183" s="9">
        <v>4</v>
      </c>
      <c r="R183" s="9"/>
      <c r="S183" s="11">
        <f>IF(R183&lt;&gt;"",R183,ROUND((L183+M183+K183+IF(COUNT(N183:P183)&gt;0,AVERAGE(N183:P183),0))/(3+IF(COUNT(N183:P183)&gt;0,1,0)),1))</f>
        <v>4.3</v>
      </c>
      <c r="T183" s="7"/>
      <c r="U183" s="7"/>
      <c r="V183" s="7"/>
      <c r="W183" s="7"/>
      <c r="X183" s="7"/>
    </row>
    <row r="184" spans="1:24" ht="15.75" customHeight="1" x14ac:dyDescent="0.25">
      <c r="A184" s="8">
        <v>130</v>
      </c>
      <c r="B184" s="8" t="s">
        <v>719</v>
      </c>
      <c r="C184" s="8" t="s">
        <v>125</v>
      </c>
      <c r="D184" s="8" t="s">
        <v>125</v>
      </c>
      <c r="E184" s="8" t="s">
        <v>125</v>
      </c>
      <c r="F184" s="8" t="s">
        <v>305</v>
      </c>
      <c r="G184" s="8" t="s">
        <v>223</v>
      </c>
      <c r="H184" s="8" t="s">
        <v>42</v>
      </c>
      <c r="I184" s="8" t="s">
        <v>129</v>
      </c>
      <c r="J184" s="9" t="s">
        <v>112</v>
      </c>
      <c r="K184" s="10">
        <v>10</v>
      </c>
      <c r="L184" s="9">
        <v>3</v>
      </c>
      <c r="M184" s="9">
        <v>0</v>
      </c>
      <c r="N184" s="9"/>
      <c r="O184" s="9"/>
      <c r="P184" s="9"/>
      <c r="Q184" s="9"/>
      <c r="R184" s="9"/>
      <c r="S184" s="11">
        <f>IF(R184&lt;&gt;"",R184,ROUND((L184+M184+K184+IF(COUNT(N184:P184)&gt;0,AVERAGE(N184:P184),0))/(3+IF(COUNT(N184:P184)&gt;0,1,0)),1))</f>
        <v>4.3</v>
      </c>
      <c r="T184" s="7"/>
      <c r="U184" s="7"/>
      <c r="V184" s="7"/>
      <c r="W184" s="7"/>
      <c r="X184" s="7"/>
    </row>
    <row r="185" spans="1:24" ht="15.75" customHeight="1" x14ac:dyDescent="0.25">
      <c r="A185" s="8">
        <v>135</v>
      </c>
      <c r="B185" s="8" t="s">
        <v>737</v>
      </c>
      <c r="C185" s="8" t="s">
        <v>125</v>
      </c>
      <c r="D185" s="8" t="s">
        <v>125</v>
      </c>
      <c r="E185" s="8" t="s">
        <v>36</v>
      </c>
      <c r="F185" s="8" t="s">
        <v>933</v>
      </c>
      <c r="G185" s="8" t="s">
        <v>646</v>
      </c>
      <c r="H185" s="8" t="s">
        <v>36</v>
      </c>
      <c r="I185" s="8" t="s">
        <v>571</v>
      </c>
      <c r="J185" s="9" t="s">
        <v>112</v>
      </c>
      <c r="K185" s="10">
        <v>10</v>
      </c>
      <c r="L185" s="9">
        <v>3</v>
      </c>
      <c r="M185" s="9">
        <v>0</v>
      </c>
      <c r="N185" s="9"/>
      <c r="O185" s="9"/>
      <c r="P185" s="9"/>
      <c r="Q185" s="9"/>
      <c r="R185" s="9"/>
      <c r="S185" s="11">
        <f>IF(R185&lt;&gt;"",R185,ROUND((L185+M185+K185+IF(COUNT(N185:P185)&gt;0,AVERAGE(N185:P185),0))/(3+IF(COUNT(N185:P185)&gt;0,1,0)),1))</f>
        <v>4.3</v>
      </c>
      <c r="T185" s="7"/>
      <c r="U185" s="7"/>
      <c r="V185" s="7"/>
      <c r="W185" s="7"/>
      <c r="X185" s="7"/>
    </row>
    <row r="186" spans="1:24" ht="15.75" customHeight="1" x14ac:dyDescent="0.25">
      <c r="A186" s="8">
        <v>198</v>
      </c>
      <c r="B186" s="8" t="s">
        <v>552</v>
      </c>
      <c r="C186" s="8" t="s">
        <v>36</v>
      </c>
      <c r="D186" s="8" t="s">
        <v>24</v>
      </c>
      <c r="E186" s="8" t="s">
        <v>36</v>
      </c>
      <c r="F186" s="8" t="s">
        <v>38</v>
      </c>
      <c r="G186" s="8" t="s">
        <v>940</v>
      </c>
      <c r="H186" s="8" t="s">
        <v>110</v>
      </c>
      <c r="I186" s="8" t="s">
        <v>36</v>
      </c>
      <c r="J186" s="9" t="s">
        <v>112</v>
      </c>
      <c r="K186" s="10">
        <v>10</v>
      </c>
      <c r="L186" s="9">
        <v>3</v>
      </c>
      <c r="M186" s="9">
        <v>0</v>
      </c>
      <c r="N186" s="9"/>
      <c r="O186" s="9"/>
      <c r="P186" s="9"/>
      <c r="Q186" s="9"/>
      <c r="R186" s="9"/>
      <c r="S186" s="11">
        <f>IF(R186&lt;&gt;"",R186,ROUND((L186+M186+K186+IF(COUNT(N186:P186)&gt;0,AVERAGE(N186:P186),0))/(3+IF(COUNT(N186:P186)&gt;0,1,0)),1))</f>
        <v>4.3</v>
      </c>
      <c r="T186" s="7"/>
      <c r="U186" s="7"/>
      <c r="V186" s="7"/>
      <c r="W186" s="7"/>
      <c r="X186" s="7"/>
    </row>
    <row r="187" spans="1:24" ht="15.75" customHeight="1" x14ac:dyDescent="0.25">
      <c r="A187" s="8">
        <v>162</v>
      </c>
      <c r="B187" s="8" t="s">
        <v>833</v>
      </c>
      <c r="C187" s="8" t="s">
        <v>36</v>
      </c>
      <c r="D187" s="8" t="s">
        <v>24</v>
      </c>
      <c r="E187" s="8" t="s">
        <v>36</v>
      </c>
      <c r="F187" s="8" t="s">
        <v>415</v>
      </c>
      <c r="G187" s="8" t="s">
        <v>555</v>
      </c>
      <c r="H187" s="8" t="s">
        <v>42</v>
      </c>
      <c r="I187" s="8" t="s">
        <v>514</v>
      </c>
      <c r="J187" s="9" t="s">
        <v>112</v>
      </c>
      <c r="K187" s="10">
        <v>10</v>
      </c>
      <c r="L187" s="9">
        <v>3</v>
      </c>
      <c r="M187" s="9"/>
      <c r="N187" s="9"/>
      <c r="O187" s="9"/>
      <c r="P187" s="9"/>
      <c r="Q187" s="9">
        <v>9</v>
      </c>
      <c r="R187" s="9"/>
      <c r="S187" s="11">
        <f>IF(R187&lt;&gt;"",R187,ROUND((L187+M187+K187+IF(COUNT(N187:P187)&gt;0,AVERAGE(N187:P187),0))/(3+IF(COUNT(N187:P187)&gt;0,1,0)),1))</f>
        <v>4.3</v>
      </c>
      <c r="T187" s="7"/>
      <c r="U187" s="7"/>
      <c r="V187" s="7"/>
      <c r="W187" s="7"/>
      <c r="X187" s="7"/>
    </row>
    <row r="188" spans="1:24" ht="15.75" customHeight="1" x14ac:dyDescent="0.25">
      <c r="A188" s="8">
        <v>159</v>
      </c>
      <c r="B188" s="8" t="s">
        <v>826</v>
      </c>
      <c r="C188" s="8" t="s">
        <v>125</v>
      </c>
      <c r="D188" s="8" t="s">
        <v>125</v>
      </c>
      <c r="E188" s="8" t="s">
        <v>125</v>
      </c>
      <c r="F188" s="8" t="s">
        <v>644</v>
      </c>
      <c r="G188" s="8" t="s">
        <v>827</v>
      </c>
      <c r="H188" s="8" t="s">
        <v>110</v>
      </c>
      <c r="I188" s="8" t="s">
        <v>481</v>
      </c>
      <c r="J188" s="9" t="s">
        <v>373</v>
      </c>
      <c r="K188" s="10">
        <v>11</v>
      </c>
      <c r="L188" s="9">
        <v>2</v>
      </c>
      <c r="M188" s="9">
        <v>0</v>
      </c>
      <c r="N188" s="9"/>
      <c r="O188" s="9"/>
      <c r="P188" s="9"/>
      <c r="Q188" s="9"/>
      <c r="R188" s="9"/>
      <c r="S188" s="11">
        <f>IF(R188&lt;&gt;"",R188,ROUND((L188+M188+K188+IF(COUNT(N188:P188)&gt;0,AVERAGE(N188:P188),0))/(3+IF(COUNT(N188:P188)&gt;0,1,0)),1))</f>
        <v>4.3</v>
      </c>
      <c r="T188" s="7"/>
      <c r="U188" s="7"/>
      <c r="V188" s="7"/>
      <c r="W188" s="7"/>
      <c r="X188" s="7"/>
    </row>
    <row r="189" spans="1:24" ht="15.75" customHeight="1" x14ac:dyDescent="0.25">
      <c r="A189" s="8">
        <v>50</v>
      </c>
      <c r="B189" s="8" t="s">
        <v>359</v>
      </c>
      <c r="C189" s="8" t="s">
        <v>36</v>
      </c>
      <c r="D189" s="8" t="s">
        <v>24</v>
      </c>
      <c r="E189" s="8" t="s">
        <v>36</v>
      </c>
      <c r="F189" s="13" t="s">
        <v>90</v>
      </c>
      <c r="G189" s="8" t="s">
        <v>223</v>
      </c>
      <c r="H189" s="8" t="s">
        <v>42</v>
      </c>
      <c r="I189" s="8" t="s">
        <v>299</v>
      </c>
      <c r="J189" s="9" t="s">
        <v>95</v>
      </c>
      <c r="K189" s="10">
        <v>7</v>
      </c>
      <c r="L189" s="9">
        <v>4</v>
      </c>
      <c r="M189" s="9"/>
      <c r="N189" s="9"/>
      <c r="O189" s="9"/>
      <c r="P189" s="9">
        <v>5</v>
      </c>
      <c r="Q189" s="9">
        <v>16</v>
      </c>
      <c r="R189" s="9"/>
      <c r="S189" s="11">
        <f>IF(R189&lt;&gt;"",R189,ROUND((L189+M189+K189+IF(COUNT(N189:P189)&gt;0,AVERAGE(N189:P189),0))/(3+IF(COUNT(N189:P189)&gt;0,1,0)),1))</f>
        <v>4</v>
      </c>
      <c r="T189" s="7"/>
      <c r="U189" s="7"/>
      <c r="V189" s="7"/>
      <c r="W189" s="7"/>
      <c r="X189" s="7"/>
    </row>
    <row r="190" spans="1:24" ht="15.75" customHeight="1" x14ac:dyDescent="0.25">
      <c r="A190" s="8">
        <v>163</v>
      </c>
      <c r="B190" s="8" t="s">
        <v>839</v>
      </c>
      <c r="C190" s="8" t="s">
        <v>125</v>
      </c>
      <c r="D190" s="8" t="s">
        <v>24</v>
      </c>
      <c r="E190" s="8" t="s">
        <v>36</v>
      </c>
      <c r="F190" s="8" t="s">
        <v>942</v>
      </c>
      <c r="G190" s="8" t="s">
        <v>683</v>
      </c>
      <c r="H190" s="8" t="s">
        <v>42</v>
      </c>
      <c r="I190" s="8" t="s">
        <v>514</v>
      </c>
      <c r="J190" s="9" t="s">
        <v>840</v>
      </c>
      <c r="K190" s="10">
        <v>8</v>
      </c>
      <c r="L190" s="9">
        <v>4</v>
      </c>
      <c r="M190" s="9">
        <v>0</v>
      </c>
      <c r="N190" s="9"/>
      <c r="O190" s="9"/>
      <c r="P190" s="9"/>
      <c r="Q190" s="9">
        <v>2</v>
      </c>
      <c r="R190" s="9"/>
      <c r="S190" s="11">
        <f>IF(R190&lt;&gt;"",R190,ROUND((L190+M190+K190+IF(COUNT(N190:P190)&gt;0,AVERAGE(N190:P190),0))/(3+IF(COUNT(N190:P190)&gt;0,1,0)),1))</f>
        <v>4</v>
      </c>
      <c r="T190" s="7"/>
      <c r="U190" s="7"/>
      <c r="V190" s="7"/>
      <c r="W190" s="7"/>
      <c r="X190" s="7"/>
    </row>
    <row r="191" spans="1:24" ht="15.75" customHeight="1" x14ac:dyDescent="0.25">
      <c r="A191" s="8">
        <v>120</v>
      </c>
      <c r="B191" s="8" t="s">
        <v>208</v>
      </c>
      <c r="C191" s="8">
        <v>5000000</v>
      </c>
      <c r="D191" s="8" t="s">
        <v>24</v>
      </c>
      <c r="E191" s="8" t="s">
        <v>36</v>
      </c>
      <c r="F191" s="8" t="s">
        <v>941</v>
      </c>
      <c r="G191" s="8" t="s">
        <v>31</v>
      </c>
      <c r="H191" s="8" t="s">
        <v>42</v>
      </c>
      <c r="I191" s="8" t="s">
        <v>129</v>
      </c>
      <c r="J191" s="9" t="s">
        <v>112</v>
      </c>
      <c r="K191" s="10">
        <v>10</v>
      </c>
      <c r="L191" s="9">
        <v>3</v>
      </c>
      <c r="M191" s="9">
        <v>0</v>
      </c>
      <c r="N191" s="9"/>
      <c r="O191" s="9"/>
      <c r="P191" s="9">
        <v>3</v>
      </c>
      <c r="Q191" s="9">
        <v>2</v>
      </c>
      <c r="R191" s="9"/>
      <c r="S191" s="11">
        <f>IF(R191&lt;&gt;"",R191,ROUND((L191+M191+K191+IF(COUNT(N191:P191)&gt;0,AVERAGE(N191:P191),0))/(3+IF(COUNT(N191:P191)&gt;0,1,0)),1))</f>
        <v>4</v>
      </c>
      <c r="T191" s="7"/>
      <c r="U191" s="7"/>
      <c r="V191" s="7"/>
      <c r="W191" s="7"/>
      <c r="X191" s="7"/>
    </row>
    <row r="192" spans="1:24" ht="15.75" customHeight="1" x14ac:dyDescent="0.25">
      <c r="A192" s="8">
        <v>197</v>
      </c>
      <c r="B192" s="8" t="s">
        <v>922</v>
      </c>
      <c r="C192" s="8" t="s">
        <v>125</v>
      </c>
      <c r="D192" s="8" t="s">
        <v>125</v>
      </c>
      <c r="E192" s="8" t="s">
        <v>36</v>
      </c>
      <c r="F192" s="8" t="s">
        <v>189</v>
      </c>
      <c r="G192" s="8" t="s">
        <v>732</v>
      </c>
      <c r="H192" s="8" t="s">
        <v>42</v>
      </c>
      <c r="I192" s="8" t="s">
        <v>192</v>
      </c>
      <c r="J192" s="9" t="s">
        <v>112</v>
      </c>
      <c r="K192" s="10">
        <v>10</v>
      </c>
      <c r="L192" s="9">
        <v>2</v>
      </c>
      <c r="M192" s="9">
        <v>0</v>
      </c>
      <c r="N192" s="9"/>
      <c r="O192" s="9"/>
      <c r="P192" s="9"/>
      <c r="Q192" s="9"/>
      <c r="R192" s="9"/>
      <c r="S192" s="11">
        <f>IF(R192&lt;&gt;"",R192,ROUND((L192+M192+K192+IF(COUNT(N192:P192)&gt;0,AVERAGE(N192:P192),0))/(3+IF(COUNT(N192:P192)&gt;0,1,0)),1))</f>
        <v>4</v>
      </c>
      <c r="T192" s="7"/>
      <c r="U192" s="7"/>
      <c r="V192" s="7"/>
      <c r="W192" s="7"/>
      <c r="X192" s="7"/>
    </row>
    <row r="193" spans="1:24" ht="15.75" customHeight="1" x14ac:dyDescent="0.25">
      <c r="A193" s="8">
        <v>134</v>
      </c>
      <c r="B193" s="8" t="s">
        <v>731</v>
      </c>
      <c r="C193" s="8" t="s">
        <v>125</v>
      </c>
      <c r="D193" s="8" t="s">
        <v>125</v>
      </c>
      <c r="E193" s="8" t="s">
        <v>36</v>
      </c>
      <c r="F193" s="8" t="s">
        <v>933</v>
      </c>
      <c r="G193" s="8" t="s">
        <v>732</v>
      </c>
      <c r="H193" s="8" t="s">
        <v>42</v>
      </c>
      <c r="I193" s="8" t="s">
        <v>571</v>
      </c>
      <c r="J193" s="9" t="s">
        <v>112</v>
      </c>
      <c r="K193" s="10">
        <v>10</v>
      </c>
      <c r="L193" s="9">
        <v>2</v>
      </c>
      <c r="M193" s="9"/>
      <c r="N193" s="9"/>
      <c r="O193" s="9"/>
      <c r="P193" s="9"/>
      <c r="Q193" s="9"/>
      <c r="R193" s="9"/>
      <c r="S193" s="11">
        <f>IF(R193&lt;&gt;"",R193,ROUND((L193+M193+K193+IF(COUNT(N193:P193)&gt;0,AVERAGE(N193:P193),0))/(3+IF(COUNT(N193:P193)&gt;0,1,0)),1))</f>
        <v>4</v>
      </c>
      <c r="T193" s="7"/>
      <c r="U193" s="7"/>
      <c r="V193" s="7"/>
      <c r="W193" s="7"/>
      <c r="X193" s="7"/>
    </row>
    <row r="194" spans="1:24" ht="15.75" customHeight="1" x14ac:dyDescent="0.25">
      <c r="A194" s="8">
        <v>129</v>
      </c>
      <c r="B194" s="8" t="s">
        <v>716</v>
      </c>
      <c r="C194" s="8" t="s">
        <v>125</v>
      </c>
      <c r="D194" s="8" t="s">
        <v>125</v>
      </c>
      <c r="E194" s="8" t="s">
        <v>125</v>
      </c>
      <c r="F194" s="8" t="s">
        <v>305</v>
      </c>
      <c r="G194" s="8" t="s">
        <v>223</v>
      </c>
      <c r="H194" s="8" t="s">
        <v>42</v>
      </c>
      <c r="I194" s="8" t="s">
        <v>129</v>
      </c>
      <c r="J194" s="9" t="s">
        <v>112</v>
      </c>
      <c r="K194" s="10">
        <v>10</v>
      </c>
      <c r="L194" s="9">
        <v>2</v>
      </c>
      <c r="M194" s="9">
        <v>0</v>
      </c>
      <c r="N194" s="9"/>
      <c r="O194" s="9"/>
      <c r="P194" s="9"/>
      <c r="Q194" s="9"/>
      <c r="R194" s="9"/>
      <c r="S194" s="11">
        <f>IF(R194&lt;&gt;"",R194,ROUND((L194+M194+K194+IF(COUNT(N194:P194)&gt;0,AVERAGE(N194:P194),0))/(3+IF(COUNT(N194:P194)&gt;0,1,0)),1))</f>
        <v>4</v>
      </c>
      <c r="T194" s="7"/>
      <c r="U194" s="7"/>
      <c r="V194" s="7"/>
      <c r="W194" s="7"/>
      <c r="X194" s="7"/>
    </row>
    <row r="195" spans="1:24" ht="15.75" customHeight="1" x14ac:dyDescent="0.25">
      <c r="A195" s="8">
        <v>111</v>
      </c>
      <c r="B195" s="8" t="s">
        <v>661</v>
      </c>
      <c r="C195" s="8" t="s">
        <v>36</v>
      </c>
      <c r="D195" s="8" t="s">
        <v>125</v>
      </c>
      <c r="E195" s="8" t="s">
        <v>36</v>
      </c>
      <c r="F195" s="8" t="s">
        <v>409</v>
      </c>
      <c r="G195" s="8" t="s">
        <v>410</v>
      </c>
      <c r="H195" s="8" t="s">
        <v>42</v>
      </c>
      <c r="I195" s="8" t="s">
        <v>36</v>
      </c>
      <c r="J195" s="9" t="s">
        <v>112</v>
      </c>
      <c r="K195" s="10">
        <v>10</v>
      </c>
      <c r="L195" s="9">
        <v>2</v>
      </c>
      <c r="M195" s="9">
        <v>0</v>
      </c>
      <c r="N195" s="9"/>
      <c r="O195" s="9"/>
      <c r="P195" s="9"/>
      <c r="Q195" s="9"/>
      <c r="R195" s="9"/>
      <c r="S195" s="11">
        <f>IF(R195&lt;&gt;"",R195,ROUND((L195+M195+K195+IF(COUNT(N195:P195)&gt;0,AVERAGE(N195:P195),0))/(3+IF(COUNT(N195:P195)&gt;0,1,0)),1))</f>
        <v>4</v>
      </c>
      <c r="T195" s="7"/>
      <c r="U195" s="7"/>
      <c r="V195" s="7"/>
      <c r="W195" s="7"/>
      <c r="X195" s="7"/>
    </row>
    <row r="196" spans="1:24" ht="15.75" customHeight="1" x14ac:dyDescent="0.25">
      <c r="A196" s="8">
        <v>193</v>
      </c>
      <c r="B196" s="8" t="s">
        <v>910</v>
      </c>
      <c r="C196" s="8" t="s">
        <v>125</v>
      </c>
      <c r="D196" s="8" t="s">
        <v>24</v>
      </c>
      <c r="E196" s="8" t="s">
        <v>36</v>
      </c>
      <c r="F196" s="8" t="s">
        <v>189</v>
      </c>
      <c r="G196" s="8" t="s">
        <v>223</v>
      </c>
      <c r="H196" s="8" t="s">
        <v>42</v>
      </c>
      <c r="I196" s="8" t="s">
        <v>192</v>
      </c>
      <c r="J196" s="9" t="s">
        <v>112</v>
      </c>
      <c r="K196" s="10">
        <v>10</v>
      </c>
      <c r="L196" s="9">
        <v>1</v>
      </c>
      <c r="M196" s="9">
        <v>0</v>
      </c>
      <c r="N196" s="9"/>
      <c r="O196" s="9"/>
      <c r="P196" s="9">
        <v>5</v>
      </c>
      <c r="Q196" s="9"/>
      <c r="R196" s="9"/>
      <c r="S196" s="11">
        <f>IF(R196&lt;&gt;"",R196,ROUND((L196+M196+K196+IF(COUNT(N196:P196)&gt;0,AVERAGE(N196:P196),0))/(3+IF(COUNT(N196:P196)&gt;0,1,0)),1))</f>
        <v>4</v>
      </c>
      <c r="T196" s="7"/>
      <c r="U196" s="7"/>
      <c r="V196" s="7"/>
      <c r="W196" s="7"/>
      <c r="X196" s="7"/>
    </row>
    <row r="197" spans="1:24" ht="15.75" customHeight="1" x14ac:dyDescent="0.25">
      <c r="A197" s="8">
        <v>142</v>
      </c>
      <c r="B197" s="8" t="s">
        <v>767</v>
      </c>
      <c r="C197" s="8" t="s">
        <v>125</v>
      </c>
      <c r="D197" s="8" t="s">
        <v>125</v>
      </c>
      <c r="E197" s="8" t="s">
        <v>125</v>
      </c>
      <c r="F197" s="8" t="s">
        <v>560</v>
      </c>
      <c r="G197" s="8" t="s">
        <v>223</v>
      </c>
      <c r="H197" s="8" t="s">
        <v>42</v>
      </c>
      <c r="I197" s="8" t="s">
        <v>560</v>
      </c>
      <c r="J197" s="9" t="s">
        <v>563</v>
      </c>
      <c r="K197" s="10">
        <v>10</v>
      </c>
      <c r="L197" s="9">
        <v>1</v>
      </c>
      <c r="M197" s="9">
        <v>0</v>
      </c>
      <c r="N197" s="9"/>
      <c r="O197" s="9"/>
      <c r="P197" s="9"/>
      <c r="Q197" s="9"/>
      <c r="R197" s="9"/>
      <c r="S197" s="11">
        <f>IF(R197&lt;&gt;"",R197,ROUND((L197+M197+K197+IF(COUNT(N197:P197)&gt;0,AVERAGE(N197:P197),0))/(3+IF(COUNT(N197:P197)&gt;0,1,0)),1))</f>
        <v>3.7</v>
      </c>
      <c r="T197" s="7"/>
      <c r="U197" s="7"/>
      <c r="V197" s="7"/>
      <c r="W197" s="7"/>
      <c r="X197" s="7"/>
    </row>
    <row r="198" spans="1:24" ht="15.75" customHeight="1" x14ac:dyDescent="0.25">
      <c r="A198" s="8">
        <v>132</v>
      </c>
      <c r="B198" s="8" t="s">
        <v>694</v>
      </c>
      <c r="C198" s="8" t="s">
        <v>125</v>
      </c>
      <c r="D198" s="8" t="s">
        <v>125</v>
      </c>
      <c r="E198" s="8" t="s">
        <v>125</v>
      </c>
      <c r="F198" s="8" t="s">
        <v>305</v>
      </c>
      <c r="G198" s="8" t="s">
        <v>223</v>
      </c>
      <c r="H198" s="8" t="s">
        <v>42</v>
      </c>
      <c r="I198" s="8" t="s">
        <v>129</v>
      </c>
      <c r="J198" s="9" t="s">
        <v>112</v>
      </c>
      <c r="K198" s="10">
        <v>10</v>
      </c>
      <c r="L198" s="9">
        <v>1</v>
      </c>
      <c r="M198" s="9">
        <v>0</v>
      </c>
      <c r="N198" s="9"/>
      <c r="O198" s="9"/>
      <c r="P198" s="9"/>
      <c r="Q198" s="9"/>
      <c r="R198" s="9"/>
      <c r="S198" s="11">
        <f>IF(R198&lt;&gt;"",R198,ROUND((L198+M198+K198+IF(COUNT(N198:P198)&gt;0,AVERAGE(N198:P198),0))/(3+IF(COUNT(N198:P198)&gt;0,1,0)),1))</f>
        <v>3.7</v>
      </c>
      <c r="T198" s="7"/>
      <c r="U198" s="7"/>
      <c r="V198" s="7"/>
      <c r="W198" s="7"/>
      <c r="X198" s="7"/>
    </row>
    <row r="199" spans="1:24" ht="15.75" customHeight="1" x14ac:dyDescent="0.25">
      <c r="A199" s="8">
        <v>21</v>
      </c>
      <c r="B199" s="8" t="s">
        <v>191</v>
      </c>
      <c r="C199" s="8" t="s">
        <v>125</v>
      </c>
      <c r="D199" s="8" t="s">
        <v>125</v>
      </c>
      <c r="E199" s="8" t="s">
        <v>125</v>
      </c>
      <c r="F199" s="8" t="s">
        <v>305</v>
      </c>
      <c r="G199" s="8" t="s">
        <v>223</v>
      </c>
      <c r="H199" s="8" t="s">
        <v>42</v>
      </c>
      <c r="I199" s="8" t="s">
        <v>129</v>
      </c>
      <c r="J199" s="9" t="s">
        <v>112</v>
      </c>
      <c r="K199" s="10">
        <v>10</v>
      </c>
      <c r="L199" s="9">
        <v>1</v>
      </c>
      <c r="M199" s="9">
        <v>0</v>
      </c>
      <c r="N199" s="9"/>
      <c r="O199" s="9"/>
      <c r="P199" s="9"/>
      <c r="Q199" s="9"/>
      <c r="R199" s="9"/>
      <c r="S199" s="11">
        <f>IF(R199&lt;&gt;"",R199,ROUND((L199+M199+K199+IF(COUNT(N199:P199)&gt;0,AVERAGE(N199:P199),0))/(3+IF(COUNT(N199:P199)&gt;0,1,0)),1))</f>
        <v>3.7</v>
      </c>
      <c r="T199" s="7"/>
      <c r="U199" s="7"/>
      <c r="V199" s="7"/>
      <c r="W199" s="7"/>
      <c r="X199" s="7"/>
    </row>
    <row r="200" spans="1:24" ht="15.75" customHeight="1" x14ac:dyDescent="0.25">
      <c r="A200" s="8">
        <v>6</v>
      </c>
      <c r="B200" s="8" t="s">
        <v>73</v>
      </c>
      <c r="C200" s="8">
        <v>1000</v>
      </c>
      <c r="D200" s="8" t="s">
        <v>21</v>
      </c>
      <c r="E200" s="8" t="s">
        <v>36</v>
      </c>
      <c r="F200" s="13" t="s">
        <v>231</v>
      </c>
      <c r="G200" s="8" t="s">
        <v>188</v>
      </c>
      <c r="H200" s="8" t="s">
        <v>42</v>
      </c>
      <c r="I200" s="8" t="s">
        <v>93</v>
      </c>
      <c r="J200" s="9" t="s">
        <v>749</v>
      </c>
      <c r="K200" s="10">
        <v>5</v>
      </c>
      <c r="L200" s="9">
        <v>4</v>
      </c>
      <c r="M200" s="9">
        <v>0</v>
      </c>
      <c r="N200" s="9">
        <v>1</v>
      </c>
      <c r="O200" s="9"/>
      <c r="P200" s="9"/>
      <c r="Q200" s="9">
        <v>14</v>
      </c>
      <c r="R200" s="9"/>
      <c r="S200" s="11">
        <f>IF(R200&lt;&gt;"",R200,ROUND((L200+M200+K200+IF(COUNT(N200:P200)&gt;0,AVERAGE(N200:P200),0))/(3+IF(COUNT(N200:P200)&gt;0,1,0)),1))</f>
        <v>2.5</v>
      </c>
      <c r="T200" s="7"/>
      <c r="U200" s="7"/>
      <c r="V200" s="7"/>
      <c r="W200" s="7"/>
      <c r="X200" s="7"/>
    </row>
    <row r="201" spans="1:24" ht="15.75" customHeight="1" x14ac:dyDescent="0.25">
      <c r="A201" s="8">
        <v>138</v>
      </c>
      <c r="B201" s="8" t="s">
        <v>747</v>
      </c>
      <c r="C201" s="8" t="s">
        <v>125</v>
      </c>
      <c r="D201" s="8" t="s">
        <v>125</v>
      </c>
      <c r="E201" s="8" t="s">
        <v>125</v>
      </c>
      <c r="F201" s="8" t="s">
        <v>933</v>
      </c>
      <c r="G201" s="8" t="s">
        <v>223</v>
      </c>
      <c r="H201" s="8" t="s">
        <v>42</v>
      </c>
      <c r="I201" s="8" t="s">
        <v>571</v>
      </c>
      <c r="J201" s="9" t="s">
        <v>749</v>
      </c>
      <c r="K201" s="10">
        <v>4</v>
      </c>
      <c r="L201" s="9">
        <v>2</v>
      </c>
      <c r="M201" s="9">
        <v>0</v>
      </c>
      <c r="N201" s="9"/>
      <c r="O201" s="9"/>
      <c r="P201" s="9"/>
      <c r="Q201" s="9"/>
      <c r="R201" s="9"/>
      <c r="S201" s="11">
        <f>IF(R201&lt;&gt;"",R201,ROUND((L201+M201+K201+IF(COUNT(N201:P201)&gt;0,AVERAGE(N201:P201),0))/(3+IF(COUNT(N201:P201)&gt;0,1,0)),1))</f>
        <v>2</v>
      </c>
      <c r="T201" s="7"/>
      <c r="U201" s="7"/>
      <c r="V201" s="7"/>
      <c r="W201" s="7"/>
      <c r="X201" s="7"/>
    </row>
    <row r="202" spans="1:24" ht="15.75" customHeight="1" x14ac:dyDescent="0.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1:24" ht="15.75" customHeight="1" x14ac:dyDescent="0.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1:24" ht="15.75" customHeight="1" x14ac:dyDescent="0.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1:24" ht="15.75" customHeight="1" x14ac:dyDescent="0.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1:24" ht="15.75" customHeight="1" x14ac:dyDescent="0.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1:24" ht="15.75" customHeight="1" x14ac:dyDescent="0.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1:24" ht="15.75" customHeight="1" x14ac:dyDescent="0.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1:24" ht="15.75" customHeight="1" x14ac:dyDescent="0.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1:24" ht="15.75" customHeight="1" x14ac:dyDescent="0.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1:24" ht="15.75" customHeight="1" x14ac:dyDescent="0.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1:24" ht="15.75" customHeight="1" x14ac:dyDescent="0.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1:24" ht="15.75" customHeight="1" x14ac:dyDescent="0.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1:24" ht="15.75" customHeight="1" x14ac:dyDescent="0.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1:24" ht="15.75" customHeight="1" x14ac:dyDescent="0.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1:24" ht="15.75" customHeight="1" x14ac:dyDescent="0.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1:24" ht="15.75" customHeight="1" x14ac:dyDescent="0.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1:24" ht="15.75" customHeight="1" x14ac:dyDescent="0.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1:24" ht="15.75" customHeight="1" x14ac:dyDescent="0.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1:24" ht="15.75" customHeight="1" x14ac:dyDescent="0.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1:24" ht="15.75" customHeight="1" x14ac:dyDescent="0.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1:24" ht="15.75" customHeight="1" x14ac:dyDescent="0.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1:24" ht="15.75" customHeight="1" x14ac:dyDescent="0.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1:24" ht="15.75" customHeight="1" x14ac:dyDescent="0.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1:24" ht="15.75" customHeight="1" x14ac:dyDescent="0.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1:24" ht="15.75" customHeight="1" x14ac:dyDescent="0.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1:24" ht="15.75" customHeight="1" x14ac:dyDescent="0.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1:24" ht="15.75" customHeight="1" x14ac:dyDescent="0.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1:24" ht="15.75" customHeight="1" x14ac:dyDescent="0.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1:24" ht="15.75" customHeight="1" x14ac:dyDescent="0.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1:24" ht="15.75" customHeight="1" x14ac:dyDescent="0.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1:24" ht="15.75" customHeight="1" x14ac:dyDescent="0.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1:24" ht="15.75" customHeight="1" x14ac:dyDescent="0.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1:24" ht="15.75" customHeight="1" x14ac:dyDescent="0.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1:24" ht="15.75" customHeight="1" x14ac:dyDescent="0.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1:24" ht="15.75" customHeight="1" x14ac:dyDescent="0.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1:24" ht="15.75" customHeight="1" x14ac:dyDescent="0.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1:24" ht="15.75" customHeight="1" x14ac:dyDescent="0.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1:24" ht="15.75" customHeight="1" x14ac:dyDescent="0.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1:24" ht="15.75" customHeight="1" x14ac:dyDescent="0.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1:24" ht="15.75" customHeight="1" x14ac:dyDescent="0.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1:24" ht="15.75" customHeight="1" x14ac:dyDescent="0.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1:24" ht="15.75" customHeight="1" x14ac:dyDescent="0.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1:24" ht="15.75" customHeight="1" x14ac:dyDescent="0.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1:24" ht="15.75" customHeight="1" x14ac:dyDescent="0.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1:24" ht="15.75" customHeight="1" x14ac:dyDescent="0.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1:24" ht="15.75" customHeight="1" x14ac:dyDescent="0.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1:24" ht="15.75" customHeight="1" x14ac:dyDescent="0.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1:24" ht="15.75" customHeight="1" x14ac:dyDescent="0.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1:24" ht="15.75" customHeight="1" x14ac:dyDescent="0.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1:24" ht="15.75" customHeight="1" x14ac:dyDescent="0.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1:24" ht="15.75" customHeight="1" x14ac:dyDescent="0.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1:24" ht="15.75" customHeight="1" x14ac:dyDescent="0.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1:24" ht="15.75" customHeight="1" x14ac:dyDescent="0.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1:24" ht="15.75" customHeight="1" x14ac:dyDescent="0.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1:24" ht="15.75" customHeight="1" x14ac:dyDescent="0.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1:24" ht="15.75" customHeight="1" x14ac:dyDescent="0.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1:24" ht="15.75" customHeight="1" x14ac:dyDescent="0.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1:24" ht="15.75" customHeight="1" x14ac:dyDescent="0.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1:24" ht="15.75" customHeight="1" x14ac:dyDescent="0.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1:24" ht="15.75" customHeight="1" x14ac:dyDescent="0.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1:24" ht="15.75" customHeight="1" x14ac:dyDescent="0.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1:24" ht="15.75" customHeight="1" x14ac:dyDescent="0.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1:24" ht="15.75" customHeight="1" x14ac:dyDescent="0.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1:24" ht="15.75" customHeight="1" x14ac:dyDescent="0.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1:24" ht="15.75" customHeight="1" x14ac:dyDescent="0.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1:24" ht="15.75" customHeight="1" x14ac:dyDescent="0.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1:24" ht="15.75" customHeight="1" x14ac:dyDescent="0.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1:24" ht="15.75" customHeight="1" x14ac:dyDescent="0.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1:24" ht="15.75" customHeight="1" x14ac:dyDescent="0.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1:24" ht="15.75" customHeight="1" x14ac:dyDescent="0.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1:24" ht="15.75" customHeight="1" x14ac:dyDescent="0.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1:24" ht="15.75" customHeight="1" x14ac:dyDescent="0.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1:24" ht="15.75" customHeight="1" x14ac:dyDescent="0.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1:24" ht="15.75" customHeight="1" x14ac:dyDescent="0.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1:24" ht="15.75" customHeight="1" x14ac:dyDescent="0.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1:24" ht="15.75" customHeight="1" x14ac:dyDescent="0.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1:24" ht="15.75" customHeight="1" x14ac:dyDescent="0.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1:24" ht="15.75" customHeight="1" x14ac:dyDescent="0.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1:24" ht="15.75" customHeight="1" x14ac:dyDescent="0.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1:24" ht="15.75" customHeight="1" x14ac:dyDescent="0.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1:24" ht="15.75" customHeight="1" x14ac:dyDescent="0.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1:24" ht="15.75" customHeight="1" x14ac:dyDescent="0.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1:24" ht="15.75" customHeight="1" x14ac:dyDescent="0.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1:24" ht="15.75" customHeight="1" x14ac:dyDescent="0.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1:24" ht="15.75" customHeight="1" x14ac:dyDescent="0.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1:24" ht="15.75" customHeight="1" x14ac:dyDescent="0.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1:24" ht="15.75" customHeight="1" x14ac:dyDescent="0.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1:24" ht="15.75" customHeight="1" x14ac:dyDescent="0.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1:24" ht="15.75" customHeight="1" x14ac:dyDescent="0.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1:24" ht="15.75" customHeight="1" x14ac:dyDescent="0.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1:24" ht="15.75" customHeight="1" x14ac:dyDescent="0.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1:24" ht="15.75" customHeight="1" x14ac:dyDescent="0.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1:24" ht="15.75" customHeight="1" x14ac:dyDescent="0.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1:24" ht="15.75" customHeight="1" x14ac:dyDescent="0.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1:24" ht="15.75" customHeight="1" x14ac:dyDescent="0.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1:24" ht="15.75" customHeight="1" x14ac:dyDescent="0.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1:24" ht="15.75" customHeight="1" x14ac:dyDescent="0.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1:24" ht="15.75" customHeight="1" x14ac:dyDescent="0.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1:24" ht="15.75" customHeight="1" x14ac:dyDescent="0.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1:24" ht="15.75" customHeight="1" x14ac:dyDescent="0.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1:24" ht="15.75" customHeight="1" x14ac:dyDescent="0.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1:24" ht="15.75" customHeight="1" x14ac:dyDescent="0.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1:24" ht="15.75" customHeight="1" x14ac:dyDescent="0.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1:24" ht="15.75" customHeight="1" x14ac:dyDescent="0.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1:24" ht="15.75" customHeight="1" x14ac:dyDescent="0.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1:24" ht="15.75" customHeight="1" x14ac:dyDescent="0.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1:24" ht="15.75" customHeight="1" x14ac:dyDescent="0.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1:24" ht="15.75" customHeight="1" x14ac:dyDescent="0.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1:24" ht="15.75" customHeight="1" x14ac:dyDescent="0.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1:24" ht="15.75" customHeight="1" x14ac:dyDescent="0.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1:24" ht="15.75" customHeight="1" x14ac:dyDescent="0.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1:24" ht="15.75" customHeight="1" x14ac:dyDescent="0.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1:24" ht="15.75" customHeight="1" x14ac:dyDescent="0.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1:24" ht="15.75" customHeight="1" x14ac:dyDescent="0.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1:24" ht="15.75" customHeight="1" x14ac:dyDescent="0.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1:24" ht="15.75" customHeight="1" x14ac:dyDescent="0.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1:24" ht="15.75" customHeight="1" x14ac:dyDescent="0.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1:24" ht="15.75" customHeight="1" x14ac:dyDescent="0.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1:24" ht="15.75" customHeight="1" x14ac:dyDescent="0.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1:24" ht="15.75" customHeight="1" x14ac:dyDescent="0.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1:24" ht="15.75" customHeight="1" x14ac:dyDescent="0.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1:24" ht="15.75" customHeight="1" x14ac:dyDescent="0.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1:24" ht="15.75" customHeight="1" x14ac:dyDescent="0.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1:24" ht="15.75" customHeight="1" x14ac:dyDescent="0.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1:24" ht="15.75" customHeight="1" x14ac:dyDescent="0.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1:24" ht="15.75" customHeight="1" x14ac:dyDescent="0.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1:24" ht="15.75" customHeight="1" x14ac:dyDescent="0.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1:24" ht="15.75" customHeight="1" x14ac:dyDescent="0.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1:24" ht="15.75" customHeight="1" x14ac:dyDescent="0.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1:24" ht="15.75" customHeight="1" x14ac:dyDescent="0.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1:24" ht="15.75" customHeight="1" x14ac:dyDescent="0.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1:24" ht="15.75" customHeight="1" x14ac:dyDescent="0.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1:24" ht="15.75" customHeight="1" x14ac:dyDescent="0.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1:24" ht="15.75" customHeight="1" x14ac:dyDescent="0.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1:24" ht="15.75" customHeight="1" x14ac:dyDescent="0.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1:24" ht="15.75" customHeight="1" x14ac:dyDescent="0.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1:24" ht="15.75" customHeight="1" x14ac:dyDescent="0.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1:24" ht="15.75" customHeight="1" x14ac:dyDescent="0.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1:24" ht="15.75" customHeight="1" x14ac:dyDescent="0.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1:24" ht="15.75" customHeight="1" x14ac:dyDescent="0.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1:24" ht="15.75" customHeight="1" x14ac:dyDescent="0.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1:24" ht="15.75" customHeight="1" x14ac:dyDescent="0.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1:24" ht="15.75" customHeight="1" x14ac:dyDescent="0.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1:24" ht="15.75" customHeight="1" x14ac:dyDescent="0.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1:24" ht="15.75" customHeight="1" x14ac:dyDescent="0.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1:24" ht="15.75" customHeight="1" x14ac:dyDescent="0.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1:24" ht="15.75" customHeight="1" x14ac:dyDescent="0.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1:24" ht="15.75" customHeight="1" x14ac:dyDescent="0.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1:24" ht="15.75" customHeight="1" x14ac:dyDescent="0.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1:24" ht="15.75" customHeight="1" x14ac:dyDescent="0.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1:24" ht="15.75" customHeight="1" x14ac:dyDescent="0.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1:24" ht="15.75" customHeight="1" x14ac:dyDescent="0.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1:24" ht="15.75" customHeight="1" x14ac:dyDescent="0.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1:24" ht="15.75" customHeight="1" x14ac:dyDescent="0.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1:24" ht="15.75" customHeight="1" x14ac:dyDescent="0.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1:24" ht="15.75" customHeight="1" x14ac:dyDescent="0.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1:24" ht="15.75" customHeight="1" x14ac:dyDescent="0.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1:24" ht="15.75" customHeight="1" x14ac:dyDescent="0.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1:24" ht="15.75" customHeight="1" x14ac:dyDescent="0.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1:24" ht="15.75" customHeight="1" x14ac:dyDescent="0.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1:24" ht="15.75" customHeight="1" x14ac:dyDescent="0.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1:24" ht="15.75" customHeight="1" x14ac:dyDescent="0.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1:24" ht="15.75" customHeight="1" x14ac:dyDescent="0.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1:24" ht="15.75" customHeight="1" x14ac:dyDescent="0.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1:24" ht="15.75" customHeight="1" x14ac:dyDescent="0.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1:24" ht="15.75" customHeight="1" x14ac:dyDescent="0.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1:24" ht="15.75" customHeight="1" x14ac:dyDescent="0.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1:24" ht="15.75" customHeight="1" x14ac:dyDescent="0.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1:24" ht="15.75" customHeight="1" x14ac:dyDescent="0.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1:24" ht="15.75" customHeight="1" x14ac:dyDescent="0.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1:24" ht="15.75" customHeight="1" x14ac:dyDescent="0.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1:24" ht="15.75" customHeight="1" x14ac:dyDescent="0.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1:24" ht="15.75" customHeight="1" x14ac:dyDescent="0.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1:24" ht="15.75" customHeight="1" x14ac:dyDescent="0.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1:24" ht="15.75" customHeight="1" x14ac:dyDescent="0.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1:24" ht="15.75" customHeight="1" x14ac:dyDescent="0.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1:24" ht="15.75" customHeight="1" x14ac:dyDescent="0.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1:24" ht="15.75" customHeight="1" x14ac:dyDescent="0.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1:24" ht="15.75" customHeight="1" x14ac:dyDescent="0.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1:24" ht="15.75" customHeight="1" x14ac:dyDescent="0.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1:24" ht="15.75" customHeight="1" x14ac:dyDescent="0.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1:24" ht="15.75" customHeight="1" x14ac:dyDescent="0.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1:24" ht="15.75" customHeight="1" x14ac:dyDescent="0.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1:24" ht="15.75" customHeight="1" x14ac:dyDescent="0.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1:24" ht="15.75" customHeight="1" x14ac:dyDescent="0.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1:24" ht="15.75" customHeight="1" x14ac:dyDescent="0.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1:24" ht="15.75" customHeight="1" x14ac:dyDescent="0.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1:24" ht="15.75" customHeight="1" x14ac:dyDescent="0.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1:24" ht="15.75" customHeight="1" x14ac:dyDescent="0.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1:24" ht="15.75" customHeight="1" x14ac:dyDescent="0.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1:24" ht="15.75" customHeight="1" x14ac:dyDescent="0.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1:24" ht="15.75" customHeight="1" x14ac:dyDescent="0.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1:24" ht="15.75" customHeight="1" x14ac:dyDescent="0.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1:24" ht="15.75" customHeight="1" x14ac:dyDescent="0.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1:24" ht="15.75" customHeight="1" x14ac:dyDescent="0.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1:24" ht="15.75" customHeight="1" x14ac:dyDescent="0.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1:24" ht="15.75" customHeight="1" x14ac:dyDescent="0.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1:24" ht="15.75" customHeight="1" x14ac:dyDescent="0.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1:24" ht="15.75" customHeight="1" x14ac:dyDescent="0.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1:24" ht="15.75" customHeight="1" x14ac:dyDescent="0.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1:24" ht="15.75" customHeight="1" x14ac:dyDescent="0.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1:24" ht="15.75" customHeight="1" x14ac:dyDescent="0.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1:24" ht="15.75" customHeight="1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1:24" ht="15.75" customHeight="1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1:24" ht="15.75" customHeight="1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1:24" ht="15.75" customHeight="1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1:24" ht="15.75" customHeight="1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1:24" ht="15.75" customHeight="1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1:24" ht="15.75" customHeight="1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1:24" ht="15.75" customHeight="1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1:24" ht="15.75" customHeight="1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1:24" ht="15.75" customHeight="1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1:24" ht="15.75" customHeight="1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1:24" ht="15.75" customHeight="1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1:24" ht="15.75" customHeight="1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1:24" ht="15.75" customHeight="1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1:24" ht="15.75" customHeight="1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1:24" ht="15.75" customHeight="1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1:24" ht="15.75" customHeight="1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1:24" ht="15.75" customHeight="1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1:24" ht="15.75" customHeight="1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1:24" ht="15.75" customHeight="1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1:24" ht="15.75" customHeight="1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1:24" ht="15.75" customHeight="1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1:24" ht="15.75" customHeight="1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1:24" ht="15.75" customHeight="1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1:24" ht="15.75" customHeight="1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1:24" ht="15.75" customHeight="1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1:24" ht="15.75" customHeight="1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1:24" ht="15.75" customHeight="1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1:24" ht="15.75" customHeight="1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1:24" ht="15.75" customHeight="1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1:24" ht="15.75" customHeight="1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1:24" ht="15.75" customHeight="1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1:24" ht="15.75" customHeight="1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1:24" ht="15.75" customHeight="1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1:24" ht="15.75" customHeight="1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1:24" ht="15.75" customHeight="1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1:24" ht="15.75" customHeight="1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1:24" ht="15.75" customHeight="1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1:24" ht="15.75" customHeight="1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1:24" ht="15.75" customHeight="1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1:24" ht="15.75" customHeight="1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1:24" ht="15.75" customHeight="1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1:24" ht="15.75" customHeight="1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1:24" ht="15.75" customHeight="1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1:24" ht="15.75" customHeight="1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1:24" ht="15.75" customHeight="1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1:24" ht="15.75" customHeight="1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1:24" ht="15.75" customHeight="1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1:24" ht="15.75" customHeight="1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1:24" ht="15.75" customHeight="1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1:24" ht="15.75" customHeight="1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1:24" ht="15.75" customHeight="1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1:24" ht="15.75" customHeight="1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1:24" ht="15.75" customHeight="1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1:24" ht="15.75" customHeight="1" x14ac:dyDescent="0.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1:24" ht="15.75" customHeight="1" x14ac:dyDescent="0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1:24" ht="15.75" customHeight="1" x14ac:dyDescent="0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1:24" ht="15.75" customHeight="1" x14ac:dyDescent="0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1:24" ht="15.75" customHeight="1" x14ac:dyDescent="0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1:24" ht="15.75" customHeight="1" x14ac:dyDescent="0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1:24" ht="15.75" customHeight="1" x14ac:dyDescent="0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1:24" ht="15.75" customHeight="1" x14ac:dyDescent="0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1:24" ht="15.75" customHeight="1" x14ac:dyDescent="0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1:24" ht="15.75" customHeight="1" x14ac:dyDescent="0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1:24" ht="15.75" customHeight="1" x14ac:dyDescent="0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1:24" ht="15.75" customHeight="1" x14ac:dyDescent="0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1:24" ht="15.75" customHeight="1" x14ac:dyDescent="0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1:24" ht="15.75" customHeight="1" x14ac:dyDescent="0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1:24" ht="15.75" customHeight="1" x14ac:dyDescent="0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1:24" ht="15.75" customHeight="1" x14ac:dyDescent="0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1:24" ht="15.75" customHeight="1" x14ac:dyDescent="0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1:24" ht="15.75" customHeight="1" x14ac:dyDescent="0.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1:24" ht="15.75" customHeight="1" x14ac:dyDescent="0.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1:24" ht="15.75" customHeight="1" x14ac:dyDescent="0.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1:24" ht="15.75" customHeight="1" x14ac:dyDescent="0.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1:24" ht="15.75" customHeight="1" x14ac:dyDescent="0.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1:24" ht="15.75" customHeight="1" x14ac:dyDescent="0.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1:24" ht="15.75" customHeight="1" x14ac:dyDescent="0.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1:24" ht="15.75" customHeight="1" x14ac:dyDescent="0.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1:24" ht="15.75" customHeight="1" x14ac:dyDescent="0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1:24" ht="15.75" customHeight="1" x14ac:dyDescent="0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1:24" ht="15.75" customHeight="1" x14ac:dyDescent="0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1:24" ht="15.75" customHeight="1" x14ac:dyDescent="0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1:24" ht="15.75" customHeight="1" x14ac:dyDescent="0.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1:24" ht="15.75" customHeight="1" x14ac:dyDescent="0.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1:24" ht="15.75" customHeight="1" x14ac:dyDescent="0.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1:24" ht="15.75" customHeight="1" x14ac:dyDescent="0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1:24" ht="15.75" customHeight="1" x14ac:dyDescent="0.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1:24" ht="15.75" customHeight="1" x14ac:dyDescent="0.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1:24" ht="15.75" customHeight="1" x14ac:dyDescent="0.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1:24" ht="15.75" customHeight="1" x14ac:dyDescent="0.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1:24" ht="15.75" customHeight="1" x14ac:dyDescent="0.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1:24" ht="15.75" customHeight="1" x14ac:dyDescent="0.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1:24" ht="15.75" customHeight="1" x14ac:dyDescent="0.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1:24" ht="15.75" customHeight="1" x14ac:dyDescent="0.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1:24" ht="15.75" customHeight="1" x14ac:dyDescent="0.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1:24" ht="15.75" customHeight="1" x14ac:dyDescent="0.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1:24" ht="15.75" customHeight="1" x14ac:dyDescent="0.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1:24" ht="15.75" customHeight="1" x14ac:dyDescent="0.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1:24" ht="15.75" customHeight="1" x14ac:dyDescent="0.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1:24" ht="15.75" customHeight="1" x14ac:dyDescent="0.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1:24" ht="15.75" customHeight="1" x14ac:dyDescent="0.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1:24" ht="15.75" customHeight="1" x14ac:dyDescent="0.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1:24" ht="15.75" customHeight="1" x14ac:dyDescent="0.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1:24" ht="15.75" customHeight="1" x14ac:dyDescent="0.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1:24" ht="15.75" customHeight="1" x14ac:dyDescent="0.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1:24" ht="15.75" customHeight="1" x14ac:dyDescent="0.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1:24" ht="15.75" customHeight="1" x14ac:dyDescent="0.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1:24" ht="15.75" customHeight="1" x14ac:dyDescent="0.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1:24" ht="15.75" customHeight="1" x14ac:dyDescent="0.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1:24" ht="15.75" customHeight="1" x14ac:dyDescent="0.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1:24" ht="15.75" customHeight="1" x14ac:dyDescent="0.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1:24" ht="15.75" customHeight="1" x14ac:dyDescent="0.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1:24" ht="15.75" customHeight="1" x14ac:dyDescent="0.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1:24" ht="15.75" customHeight="1" x14ac:dyDescent="0.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1:24" ht="15.75" customHeight="1" x14ac:dyDescent="0.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1:24" ht="15.75" customHeight="1" x14ac:dyDescent="0.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1:24" ht="15.75" customHeight="1" x14ac:dyDescent="0.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1:24" ht="15.75" customHeight="1" x14ac:dyDescent="0.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1:24" ht="15.75" customHeight="1" x14ac:dyDescent="0.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1:24" ht="15.75" customHeight="1" x14ac:dyDescent="0.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1:24" ht="15.75" customHeight="1" x14ac:dyDescent="0.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1:24" ht="15.75" customHeight="1" x14ac:dyDescent="0.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1:24" ht="15.75" customHeight="1" x14ac:dyDescent="0.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1:24" ht="15.75" customHeight="1" x14ac:dyDescent="0.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1:24" ht="15.75" customHeight="1" x14ac:dyDescent="0.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1:24" ht="15.75" customHeight="1" x14ac:dyDescent="0.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1:24" ht="15.75" customHeight="1" x14ac:dyDescent="0.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1:24" ht="15.75" customHeight="1" x14ac:dyDescent="0.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1:24" ht="15.75" customHeight="1" x14ac:dyDescent="0.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1:24" ht="15.75" customHeight="1" x14ac:dyDescent="0.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1:24" ht="15.75" customHeight="1" x14ac:dyDescent="0.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1:24" ht="15.75" customHeight="1" x14ac:dyDescent="0.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1:24" ht="15.75" customHeight="1" x14ac:dyDescent="0.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1:24" ht="15.75" customHeight="1" x14ac:dyDescent="0.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1:24" ht="15.75" customHeight="1" x14ac:dyDescent="0.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1:24" ht="15.75" customHeight="1" x14ac:dyDescent="0.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1:24" ht="15.75" customHeight="1" x14ac:dyDescent="0.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1:24" ht="15.75" customHeight="1" x14ac:dyDescent="0.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1:24" ht="15.75" customHeight="1" x14ac:dyDescent="0.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1:24" ht="15.75" customHeight="1" x14ac:dyDescent="0.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1:24" ht="15.75" customHeight="1" x14ac:dyDescent="0.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1:24" ht="15.75" customHeight="1" x14ac:dyDescent="0.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1:24" ht="15.75" customHeight="1" x14ac:dyDescent="0.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1:24" ht="15.75" customHeight="1" x14ac:dyDescent="0.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1:24" ht="15.75" customHeight="1" x14ac:dyDescent="0.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1:24" ht="15.75" customHeight="1" x14ac:dyDescent="0.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1:24" ht="15.75" customHeight="1" x14ac:dyDescent="0.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1:24" ht="15.75" customHeight="1" x14ac:dyDescent="0.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1:24" ht="15.75" customHeight="1" x14ac:dyDescent="0.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1:24" ht="15.75" customHeight="1" x14ac:dyDescent="0.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1:24" ht="15.75" customHeight="1" x14ac:dyDescent="0.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1:24" ht="15.75" customHeight="1" x14ac:dyDescent="0.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1:24" ht="15.75" customHeight="1" x14ac:dyDescent="0.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1:24" ht="15.75" customHeight="1" x14ac:dyDescent="0.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1:24" ht="15.75" customHeight="1" x14ac:dyDescent="0.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1:24" ht="15.75" customHeight="1" x14ac:dyDescent="0.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1:24" ht="15.75" customHeight="1" x14ac:dyDescent="0.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1:24" ht="15.75" customHeight="1" x14ac:dyDescent="0.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1:24" ht="15.75" customHeight="1" x14ac:dyDescent="0.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1:24" ht="15.75" customHeight="1" x14ac:dyDescent="0.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1:24" ht="15.75" customHeight="1" x14ac:dyDescent="0.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1:24" ht="15.75" customHeight="1" x14ac:dyDescent="0.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1:24" ht="15.75" customHeight="1" x14ac:dyDescent="0.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1:24" ht="15.75" customHeight="1" x14ac:dyDescent="0.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1:24" ht="15.75" customHeight="1" x14ac:dyDescent="0.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1:24" ht="15.75" customHeight="1" x14ac:dyDescent="0.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1:24" ht="15.75" customHeight="1" x14ac:dyDescent="0.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1:24" ht="15.75" customHeight="1" x14ac:dyDescent="0.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1:24" ht="15.75" customHeight="1" x14ac:dyDescent="0.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1:24" ht="15.75" customHeight="1" x14ac:dyDescent="0.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1:24" ht="15.75" customHeight="1" x14ac:dyDescent="0.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1:24" ht="15.75" customHeight="1" x14ac:dyDescent="0.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1:24" ht="15.75" customHeight="1" x14ac:dyDescent="0.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1:24" ht="15.75" customHeight="1" x14ac:dyDescent="0.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1:24" ht="15.75" customHeight="1" x14ac:dyDescent="0.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1:24" ht="15.75" customHeight="1" x14ac:dyDescent="0.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1:24" ht="15.75" customHeight="1" x14ac:dyDescent="0.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1:24" ht="15.75" customHeight="1" x14ac:dyDescent="0.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1:24" ht="15.75" customHeight="1" x14ac:dyDescent="0.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1:24" ht="15.75" customHeight="1" x14ac:dyDescent="0.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1:24" ht="15.75" customHeight="1" x14ac:dyDescent="0.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1:24" ht="15.75" customHeight="1" x14ac:dyDescent="0.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1:24" ht="15.75" customHeight="1" x14ac:dyDescent="0.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1:24" ht="15.75" customHeight="1" x14ac:dyDescent="0.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1:24" ht="15.75" customHeight="1" x14ac:dyDescent="0.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  <row r="590" spans="1:24" ht="15.75" customHeight="1" x14ac:dyDescent="0.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</row>
    <row r="591" spans="1:24" ht="15.75" customHeight="1" x14ac:dyDescent="0.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</row>
    <row r="592" spans="1:24" ht="15.75" customHeight="1" x14ac:dyDescent="0.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</row>
    <row r="593" spans="1:24" ht="15.75" customHeight="1" x14ac:dyDescent="0.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</row>
    <row r="594" spans="1:24" ht="15.75" customHeight="1" x14ac:dyDescent="0.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</row>
    <row r="595" spans="1:24" ht="15.75" customHeight="1" x14ac:dyDescent="0.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</row>
    <row r="596" spans="1:24" ht="15.75" customHeight="1" x14ac:dyDescent="0.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</row>
    <row r="597" spans="1:24" ht="15.75" customHeight="1" x14ac:dyDescent="0.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</row>
    <row r="598" spans="1:24" ht="15.75" customHeight="1" x14ac:dyDescent="0.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</row>
    <row r="599" spans="1:24" ht="15.75" customHeight="1" x14ac:dyDescent="0.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</row>
    <row r="600" spans="1:24" ht="15.75" customHeight="1" x14ac:dyDescent="0.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</row>
    <row r="601" spans="1:24" ht="15.75" customHeight="1" x14ac:dyDescent="0.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</row>
    <row r="602" spans="1:24" ht="15.75" customHeight="1" x14ac:dyDescent="0.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</row>
    <row r="603" spans="1:24" ht="15.75" customHeight="1" x14ac:dyDescent="0.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</row>
    <row r="604" spans="1:24" ht="15.75" customHeight="1" x14ac:dyDescent="0.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</row>
    <row r="605" spans="1:24" ht="15.75" customHeight="1" x14ac:dyDescent="0.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</row>
    <row r="606" spans="1:24" ht="15.75" customHeight="1" x14ac:dyDescent="0.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</row>
    <row r="607" spans="1:24" ht="15.75" customHeight="1" x14ac:dyDescent="0.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</row>
    <row r="608" spans="1:24" ht="15.75" customHeight="1" x14ac:dyDescent="0.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</row>
    <row r="609" spans="1:24" ht="15.75" customHeight="1" x14ac:dyDescent="0.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</row>
    <row r="610" spans="1:24" ht="15.75" customHeight="1" x14ac:dyDescent="0.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</row>
    <row r="611" spans="1:24" ht="15.75" customHeight="1" x14ac:dyDescent="0.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</row>
    <row r="612" spans="1:24" ht="15.75" customHeight="1" x14ac:dyDescent="0.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</row>
    <row r="613" spans="1:24" ht="15.75" customHeight="1" x14ac:dyDescent="0.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</row>
    <row r="614" spans="1:24" ht="15.75" customHeight="1" x14ac:dyDescent="0.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</row>
    <row r="615" spans="1:24" ht="15.75" customHeight="1" x14ac:dyDescent="0.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</row>
    <row r="616" spans="1:24" ht="15.75" customHeight="1" x14ac:dyDescent="0.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</row>
    <row r="617" spans="1:24" ht="15.75" customHeight="1" x14ac:dyDescent="0.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</row>
    <row r="618" spans="1:24" ht="15.75" customHeight="1" x14ac:dyDescent="0.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</row>
    <row r="619" spans="1:24" ht="15.75" customHeight="1" x14ac:dyDescent="0.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</row>
    <row r="620" spans="1:24" ht="15.75" customHeight="1" x14ac:dyDescent="0.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</row>
    <row r="621" spans="1:24" ht="15.75" customHeight="1" x14ac:dyDescent="0.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</row>
    <row r="622" spans="1:24" ht="15.75" customHeight="1" x14ac:dyDescent="0.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</row>
    <row r="623" spans="1:24" ht="15.75" customHeight="1" x14ac:dyDescent="0.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</row>
    <row r="624" spans="1:24" ht="15.75" customHeight="1" x14ac:dyDescent="0.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</row>
    <row r="625" spans="1:24" ht="15.75" customHeight="1" x14ac:dyDescent="0.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</row>
    <row r="626" spans="1:24" ht="15.75" customHeight="1" x14ac:dyDescent="0.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</row>
    <row r="627" spans="1:24" ht="15.75" customHeight="1" x14ac:dyDescent="0.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</row>
    <row r="628" spans="1:24" ht="15.75" customHeight="1" x14ac:dyDescent="0.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</row>
    <row r="629" spans="1:24" ht="15.75" customHeight="1" x14ac:dyDescent="0.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</row>
    <row r="630" spans="1:24" ht="15.75" customHeight="1" x14ac:dyDescent="0.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</row>
    <row r="631" spans="1:24" ht="15.75" customHeight="1" x14ac:dyDescent="0.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</row>
    <row r="632" spans="1:24" ht="15.75" customHeight="1" x14ac:dyDescent="0.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</row>
    <row r="633" spans="1:24" ht="15.75" customHeight="1" x14ac:dyDescent="0.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</row>
    <row r="634" spans="1:24" ht="15.75" customHeight="1" x14ac:dyDescent="0.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</row>
    <row r="635" spans="1:24" ht="15.75" customHeight="1" x14ac:dyDescent="0.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</row>
    <row r="636" spans="1:24" ht="15.75" customHeight="1" x14ac:dyDescent="0.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</row>
    <row r="637" spans="1:24" ht="15.75" customHeight="1" x14ac:dyDescent="0.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</row>
    <row r="638" spans="1:24" ht="15.75" customHeight="1" x14ac:dyDescent="0.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</row>
    <row r="639" spans="1:24" ht="15.75" customHeight="1" x14ac:dyDescent="0.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</row>
    <row r="640" spans="1:24" ht="15.75" customHeight="1" x14ac:dyDescent="0.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</row>
    <row r="641" spans="1:24" ht="15.75" customHeight="1" x14ac:dyDescent="0.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</row>
    <row r="642" spans="1:24" ht="15.75" customHeight="1" x14ac:dyDescent="0.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</row>
    <row r="643" spans="1:24" ht="15.75" customHeight="1" x14ac:dyDescent="0.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</row>
    <row r="644" spans="1:24" ht="15.75" customHeight="1" x14ac:dyDescent="0.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</row>
    <row r="645" spans="1:24" ht="15.75" customHeight="1" x14ac:dyDescent="0.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</row>
    <row r="646" spans="1:24" ht="15.75" customHeight="1" x14ac:dyDescent="0.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</row>
    <row r="647" spans="1:24" ht="15.75" customHeight="1" x14ac:dyDescent="0.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</row>
    <row r="648" spans="1:24" ht="15.75" customHeight="1" x14ac:dyDescent="0.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</row>
    <row r="649" spans="1:24" ht="15.75" customHeight="1" x14ac:dyDescent="0.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</row>
    <row r="650" spans="1:24" ht="15.75" customHeight="1" x14ac:dyDescent="0.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</row>
    <row r="651" spans="1:24" ht="15.75" customHeight="1" x14ac:dyDescent="0.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</row>
    <row r="652" spans="1:24" ht="15.75" customHeight="1" x14ac:dyDescent="0.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</row>
    <row r="653" spans="1:24" ht="15.75" customHeight="1" x14ac:dyDescent="0.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</row>
    <row r="654" spans="1:24" ht="15.75" customHeight="1" x14ac:dyDescent="0.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</row>
    <row r="655" spans="1:24" ht="15.75" customHeight="1" x14ac:dyDescent="0.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</row>
    <row r="656" spans="1:24" ht="15.75" customHeight="1" x14ac:dyDescent="0.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</row>
    <row r="657" spans="1:24" ht="15.75" customHeight="1" x14ac:dyDescent="0.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</row>
    <row r="658" spans="1:24" ht="15.75" customHeight="1" x14ac:dyDescent="0.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</row>
    <row r="659" spans="1:24" ht="15.75" customHeight="1" x14ac:dyDescent="0.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</row>
    <row r="660" spans="1:24" ht="15.75" customHeight="1" x14ac:dyDescent="0.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</row>
    <row r="661" spans="1:24" ht="15.75" customHeight="1" x14ac:dyDescent="0.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</row>
    <row r="662" spans="1:24" ht="15.75" customHeight="1" x14ac:dyDescent="0.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</row>
    <row r="663" spans="1:24" ht="15.75" customHeight="1" x14ac:dyDescent="0.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</row>
    <row r="664" spans="1:24" ht="15.75" customHeight="1" x14ac:dyDescent="0.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</row>
    <row r="665" spans="1:24" ht="15.75" customHeight="1" x14ac:dyDescent="0.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</row>
    <row r="666" spans="1:24" ht="15.75" customHeight="1" x14ac:dyDescent="0.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</row>
    <row r="667" spans="1:24" ht="15.75" customHeight="1" x14ac:dyDescent="0.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</row>
    <row r="668" spans="1:24" ht="15.75" customHeight="1" x14ac:dyDescent="0.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</row>
    <row r="669" spans="1:24" ht="15.75" customHeight="1" x14ac:dyDescent="0.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</row>
    <row r="670" spans="1:24" ht="15.75" customHeight="1" x14ac:dyDescent="0.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</row>
    <row r="671" spans="1:24" ht="15.75" customHeight="1" x14ac:dyDescent="0.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</row>
    <row r="672" spans="1:24" ht="15.75" customHeight="1" x14ac:dyDescent="0.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</row>
    <row r="673" spans="1:24" ht="15.75" customHeight="1" x14ac:dyDescent="0.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</row>
    <row r="674" spans="1:24" ht="15.75" customHeight="1" x14ac:dyDescent="0.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</row>
    <row r="675" spans="1:24" ht="15.75" customHeight="1" x14ac:dyDescent="0.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</row>
    <row r="676" spans="1:24" ht="15.75" customHeight="1" x14ac:dyDescent="0.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</row>
    <row r="677" spans="1:24" ht="15.75" customHeight="1" x14ac:dyDescent="0.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</row>
    <row r="678" spans="1:24" ht="15.75" customHeight="1" x14ac:dyDescent="0.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</row>
    <row r="679" spans="1:24" ht="15.75" customHeight="1" x14ac:dyDescent="0.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</row>
    <row r="680" spans="1:24" ht="15.75" customHeight="1" x14ac:dyDescent="0.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</row>
    <row r="681" spans="1:24" ht="15.75" customHeight="1" x14ac:dyDescent="0.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</row>
    <row r="682" spans="1:24" ht="15.75" customHeight="1" x14ac:dyDescent="0.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</row>
    <row r="683" spans="1:24" ht="15.75" customHeight="1" x14ac:dyDescent="0.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</row>
    <row r="684" spans="1:24" ht="15.75" customHeight="1" x14ac:dyDescent="0.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</row>
    <row r="685" spans="1:24" ht="15.75" customHeight="1" x14ac:dyDescent="0.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</row>
    <row r="686" spans="1:24" ht="15.75" customHeight="1" x14ac:dyDescent="0.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</row>
    <row r="687" spans="1:24" ht="15.75" customHeight="1" x14ac:dyDescent="0.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</row>
    <row r="688" spans="1:24" ht="15.75" customHeight="1" x14ac:dyDescent="0.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</row>
    <row r="689" spans="1:24" ht="15.75" customHeight="1" x14ac:dyDescent="0.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</row>
    <row r="690" spans="1:24" ht="15.75" customHeight="1" x14ac:dyDescent="0.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</row>
    <row r="691" spans="1:24" ht="15.75" customHeight="1" x14ac:dyDescent="0.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</row>
    <row r="692" spans="1:24" ht="15.75" customHeight="1" x14ac:dyDescent="0.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</row>
    <row r="693" spans="1:24" ht="15.75" customHeight="1" x14ac:dyDescent="0.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</row>
    <row r="694" spans="1:24" ht="15.75" customHeight="1" x14ac:dyDescent="0.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</row>
    <row r="695" spans="1:24" ht="15.75" customHeight="1" x14ac:dyDescent="0.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</row>
    <row r="696" spans="1:24" ht="15.75" customHeight="1" x14ac:dyDescent="0.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</row>
    <row r="697" spans="1:24" ht="15.75" customHeight="1" x14ac:dyDescent="0.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</row>
    <row r="698" spans="1:24" ht="15.75" customHeight="1" x14ac:dyDescent="0.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</row>
    <row r="699" spans="1:24" ht="15.75" customHeight="1" x14ac:dyDescent="0.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</row>
    <row r="700" spans="1:24" ht="15.75" customHeight="1" x14ac:dyDescent="0.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</row>
    <row r="701" spans="1:24" ht="15.75" customHeight="1" x14ac:dyDescent="0.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</row>
    <row r="702" spans="1:24" ht="15.75" customHeight="1" x14ac:dyDescent="0.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</row>
    <row r="703" spans="1:24" ht="15.75" customHeight="1" x14ac:dyDescent="0.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</row>
    <row r="704" spans="1:24" ht="15.75" customHeight="1" x14ac:dyDescent="0.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</row>
    <row r="705" spans="1:24" ht="15.75" customHeight="1" x14ac:dyDescent="0.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</row>
    <row r="706" spans="1:24" ht="15.75" customHeight="1" x14ac:dyDescent="0.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</row>
    <row r="707" spans="1:24" ht="15.75" customHeight="1" x14ac:dyDescent="0.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</row>
    <row r="708" spans="1:24" ht="15.75" customHeight="1" x14ac:dyDescent="0.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</row>
    <row r="709" spans="1:24" ht="15.75" customHeight="1" x14ac:dyDescent="0.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</row>
    <row r="710" spans="1:24" ht="15.75" customHeight="1" x14ac:dyDescent="0.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</row>
    <row r="711" spans="1:24" ht="15.75" customHeight="1" x14ac:dyDescent="0.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</row>
    <row r="712" spans="1:24" ht="15.75" customHeight="1" x14ac:dyDescent="0.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</row>
    <row r="713" spans="1:24" ht="15.75" customHeight="1" x14ac:dyDescent="0.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</row>
    <row r="714" spans="1:24" ht="15.75" customHeight="1" x14ac:dyDescent="0.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</row>
    <row r="715" spans="1:24" ht="15.75" customHeight="1" x14ac:dyDescent="0.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</row>
    <row r="716" spans="1:24" ht="15.75" customHeight="1" x14ac:dyDescent="0.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</row>
    <row r="717" spans="1:24" ht="15.75" customHeight="1" x14ac:dyDescent="0.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</row>
    <row r="718" spans="1:24" ht="15.75" customHeight="1" x14ac:dyDescent="0.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</row>
    <row r="719" spans="1:24" ht="15.75" customHeight="1" x14ac:dyDescent="0.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</row>
    <row r="720" spans="1:24" ht="15.75" customHeight="1" x14ac:dyDescent="0.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</row>
    <row r="721" spans="1:24" ht="15.75" customHeight="1" x14ac:dyDescent="0.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</row>
    <row r="722" spans="1:24" ht="15.75" customHeight="1" x14ac:dyDescent="0.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</row>
    <row r="723" spans="1:24" ht="15.75" customHeight="1" x14ac:dyDescent="0.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</row>
    <row r="724" spans="1:24" ht="15.75" customHeight="1" x14ac:dyDescent="0.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</row>
    <row r="725" spans="1:24" ht="15.75" customHeight="1" x14ac:dyDescent="0.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</row>
    <row r="726" spans="1:24" ht="15.75" customHeight="1" x14ac:dyDescent="0.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</row>
    <row r="727" spans="1:24" ht="15.75" customHeight="1" x14ac:dyDescent="0.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</row>
    <row r="728" spans="1:24" ht="15.75" customHeight="1" x14ac:dyDescent="0.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</row>
    <row r="729" spans="1:24" ht="15.75" customHeight="1" x14ac:dyDescent="0.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</row>
    <row r="730" spans="1:24" ht="15.75" customHeight="1" x14ac:dyDescent="0.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</row>
    <row r="731" spans="1:24" ht="15.75" customHeight="1" x14ac:dyDescent="0.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</row>
    <row r="732" spans="1:24" ht="15.75" customHeight="1" x14ac:dyDescent="0.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</row>
    <row r="733" spans="1:24" ht="15.75" customHeight="1" x14ac:dyDescent="0.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</row>
    <row r="734" spans="1:24" ht="15.75" customHeight="1" x14ac:dyDescent="0.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</row>
    <row r="735" spans="1:24" ht="15.75" customHeight="1" x14ac:dyDescent="0.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</row>
    <row r="736" spans="1:24" ht="15.75" customHeight="1" x14ac:dyDescent="0.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</row>
    <row r="737" spans="1:24" ht="15.75" customHeight="1" x14ac:dyDescent="0.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</row>
    <row r="738" spans="1:24" ht="15.75" customHeight="1" x14ac:dyDescent="0.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</row>
    <row r="739" spans="1:24" ht="15.75" customHeight="1" x14ac:dyDescent="0.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</row>
    <row r="740" spans="1:24" ht="15.75" customHeight="1" x14ac:dyDescent="0.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</row>
    <row r="741" spans="1:24" ht="15.75" customHeight="1" x14ac:dyDescent="0.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</row>
    <row r="742" spans="1:24" ht="15.75" customHeight="1" x14ac:dyDescent="0.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</row>
    <row r="743" spans="1:24" ht="15.75" customHeight="1" x14ac:dyDescent="0.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</row>
    <row r="744" spans="1:24" ht="15.75" customHeight="1" x14ac:dyDescent="0.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</row>
    <row r="745" spans="1:24" ht="15.75" customHeight="1" x14ac:dyDescent="0.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</row>
    <row r="746" spans="1:24" ht="15.75" customHeight="1" x14ac:dyDescent="0.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</row>
    <row r="747" spans="1:24" ht="15.75" customHeight="1" x14ac:dyDescent="0.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</row>
    <row r="748" spans="1:24" ht="15.75" customHeight="1" x14ac:dyDescent="0.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</row>
    <row r="749" spans="1:24" ht="15.75" customHeight="1" x14ac:dyDescent="0.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</row>
    <row r="750" spans="1:24" ht="15.75" customHeight="1" x14ac:dyDescent="0.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</row>
    <row r="751" spans="1:24" ht="15.75" customHeight="1" x14ac:dyDescent="0.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</row>
    <row r="752" spans="1:24" ht="15.75" customHeight="1" x14ac:dyDescent="0.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</row>
    <row r="753" spans="1:24" ht="15.75" customHeight="1" x14ac:dyDescent="0.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</row>
    <row r="754" spans="1:24" ht="15.75" customHeight="1" x14ac:dyDescent="0.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</row>
    <row r="755" spans="1:24" ht="15.75" customHeight="1" x14ac:dyDescent="0.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</row>
    <row r="756" spans="1:24" ht="15.75" customHeight="1" x14ac:dyDescent="0.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</row>
    <row r="757" spans="1:24" ht="15.75" customHeight="1" x14ac:dyDescent="0.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</row>
    <row r="758" spans="1:24" ht="15.75" customHeight="1" x14ac:dyDescent="0.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</row>
    <row r="759" spans="1:24" ht="15.75" customHeight="1" x14ac:dyDescent="0.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</row>
    <row r="760" spans="1:24" ht="15.75" customHeight="1" x14ac:dyDescent="0.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</row>
    <row r="761" spans="1:24" ht="15.75" customHeight="1" x14ac:dyDescent="0.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</row>
    <row r="762" spans="1:24" ht="15.75" customHeight="1" x14ac:dyDescent="0.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</row>
    <row r="763" spans="1:24" ht="15.75" customHeight="1" x14ac:dyDescent="0.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</row>
    <row r="764" spans="1:24" ht="15.75" customHeight="1" x14ac:dyDescent="0.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</row>
    <row r="765" spans="1:24" ht="15.75" customHeight="1" x14ac:dyDescent="0.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</row>
    <row r="766" spans="1:24" ht="15.75" customHeight="1" x14ac:dyDescent="0.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</row>
    <row r="767" spans="1:24" ht="15.75" customHeight="1" x14ac:dyDescent="0.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</row>
    <row r="768" spans="1:24" ht="15.75" customHeight="1" x14ac:dyDescent="0.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</row>
    <row r="769" spans="1:24" ht="15.75" customHeight="1" x14ac:dyDescent="0.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</row>
    <row r="770" spans="1:24" ht="15.75" customHeight="1" x14ac:dyDescent="0.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</row>
    <row r="771" spans="1:24" ht="15.75" customHeight="1" x14ac:dyDescent="0.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</row>
    <row r="772" spans="1:24" ht="15.75" customHeight="1" x14ac:dyDescent="0.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</row>
    <row r="773" spans="1:24" ht="15.75" customHeight="1" x14ac:dyDescent="0.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</row>
    <row r="774" spans="1:24" ht="15.75" customHeight="1" x14ac:dyDescent="0.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</row>
    <row r="775" spans="1:24" ht="15.75" customHeight="1" x14ac:dyDescent="0.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</row>
    <row r="776" spans="1:24" ht="15.75" customHeight="1" x14ac:dyDescent="0.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</row>
    <row r="777" spans="1:24" ht="15.75" customHeight="1" x14ac:dyDescent="0.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</row>
    <row r="778" spans="1:24" ht="15.75" customHeight="1" x14ac:dyDescent="0.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</row>
    <row r="779" spans="1:24" ht="15.75" customHeight="1" x14ac:dyDescent="0.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</row>
    <row r="780" spans="1:24" ht="15.75" customHeight="1" x14ac:dyDescent="0.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</row>
    <row r="781" spans="1:24" ht="15.75" customHeight="1" x14ac:dyDescent="0.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</row>
    <row r="782" spans="1:24" ht="15.75" customHeight="1" x14ac:dyDescent="0.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</row>
    <row r="783" spans="1:24" ht="15.75" customHeight="1" x14ac:dyDescent="0.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</row>
    <row r="784" spans="1:24" ht="15.75" customHeight="1" x14ac:dyDescent="0.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</row>
    <row r="785" spans="1:24" ht="15.75" customHeight="1" x14ac:dyDescent="0.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</row>
    <row r="786" spans="1:24" ht="15.75" customHeight="1" x14ac:dyDescent="0.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</row>
    <row r="787" spans="1:24" ht="15.75" customHeight="1" x14ac:dyDescent="0.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</row>
    <row r="788" spans="1:24" ht="15.75" customHeight="1" x14ac:dyDescent="0.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</row>
    <row r="789" spans="1:24" ht="15.75" customHeight="1" x14ac:dyDescent="0.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</row>
    <row r="790" spans="1:24" ht="15.75" customHeight="1" x14ac:dyDescent="0.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</row>
    <row r="791" spans="1:24" ht="15.75" customHeight="1" x14ac:dyDescent="0.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</row>
    <row r="792" spans="1:24" ht="15.75" customHeight="1" x14ac:dyDescent="0.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</row>
    <row r="793" spans="1:24" ht="15.75" customHeight="1" x14ac:dyDescent="0.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</row>
    <row r="794" spans="1:24" ht="15.75" customHeight="1" x14ac:dyDescent="0.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</row>
    <row r="795" spans="1:24" ht="15.75" customHeight="1" x14ac:dyDescent="0.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</row>
    <row r="796" spans="1:24" ht="15.75" customHeight="1" x14ac:dyDescent="0.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</row>
    <row r="797" spans="1:24" ht="15.75" customHeight="1" x14ac:dyDescent="0.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</row>
    <row r="798" spans="1:24" ht="15.75" customHeight="1" x14ac:dyDescent="0.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</row>
    <row r="799" spans="1:24" ht="15.75" customHeight="1" x14ac:dyDescent="0.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</row>
    <row r="800" spans="1:24" ht="15.75" customHeight="1" x14ac:dyDescent="0.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</row>
    <row r="801" spans="1:24" ht="15.75" customHeight="1" x14ac:dyDescent="0.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</row>
    <row r="802" spans="1:24" ht="15.75" customHeight="1" x14ac:dyDescent="0.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</row>
    <row r="803" spans="1:24" ht="15.75" customHeight="1" x14ac:dyDescent="0.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</row>
    <row r="804" spans="1:24" ht="15.75" customHeight="1" x14ac:dyDescent="0.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</row>
    <row r="805" spans="1:24" ht="15.75" customHeight="1" x14ac:dyDescent="0.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</row>
    <row r="806" spans="1:24" ht="15.75" customHeight="1" x14ac:dyDescent="0.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</row>
    <row r="807" spans="1:24" ht="15.75" customHeight="1" x14ac:dyDescent="0.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</row>
    <row r="808" spans="1:24" ht="15.75" customHeight="1" x14ac:dyDescent="0.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</row>
    <row r="809" spans="1:24" ht="15.75" customHeight="1" x14ac:dyDescent="0.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</row>
    <row r="810" spans="1:24" ht="15.75" customHeight="1" x14ac:dyDescent="0.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</row>
    <row r="811" spans="1:24" ht="15.75" customHeight="1" x14ac:dyDescent="0.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</row>
    <row r="812" spans="1:24" ht="15.75" customHeight="1" x14ac:dyDescent="0.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</row>
    <row r="813" spans="1:24" ht="15.75" customHeight="1" x14ac:dyDescent="0.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</row>
    <row r="814" spans="1:24" ht="15.75" customHeight="1" x14ac:dyDescent="0.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</row>
    <row r="815" spans="1:24" ht="15.75" customHeight="1" x14ac:dyDescent="0.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</row>
    <row r="816" spans="1:24" ht="15.75" customHeight="1" x14ac:dyDescent="0.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</row>
    <row r="817" spans="1:24" ht="15.75" customHeight="1" x14ac:dyDescent="0.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</row>
    <row r="818" spans="1:24" ht="15.75" customHeight="1" x14ac:dyDescent="0.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</row>
    <row r="819" spans="1:24" ht="15.75" customHeight="1" x14ac:dyDescent="0.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</row>
    <row r="820" spans="1:24" ht="15.75" customHeight="1" x14ac:dyDescent="0.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</row>
    <row r="821" spans="1:24" ht="15.75" customHeight="1" x14ac:dyDescent="0.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</row>
    <row r="822" spans="1:24" ht="15.75" customHeight="1" x14ac:dyDescent="0.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</row>
    <row r="823" spans="1:24" ht="15.75" customHeight="1" x14ac:dyDescent="0.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</row>
    <row r="824" spans="1:24" ht="15.75" customHeight="1" x14ac:dyDescent="0.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</row>
    <row r="825" spans="1:24" ht="15.75" customHeight="1" x14ac:dyDescent="0.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</row>
    <row r="826" spans="1:24" ht="15.75" customHeight="1" x14ac:dyDescent="0.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</row>
    <row r="827" spans="1:24" ht="15.75" customHeight="1" x14ac:dyDescent="0.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</row>
    <row r="828" spans="1:24" ht="15.75" customHeight="1" x14ac:dyDescent="0.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</row>
    <row r="829" spans="1:24" ht="15.75" customHeight="1" x14ac:dyDescent="0.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</row>
    <row r="830" spans="1:24" ht="15.75" customHeight="1" x14ac:dyDescent="0.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</row>
    <row r="831" spans="1:24" ht="15.75" customHeight="1" x14ac:dyDescent="0.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</row>
    <row r="832" spans="1:24" ht="15.75" customHeight="1" x14ac:dyDescent="0.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</row>
    <row r="833" spans="1:24" ht="15.75" customHeight="1" x14ac:dyDescent="0.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</row>
    <row r="834" spans="1:24" ht="15.75" customHeight="1" x14ac:dyDescent="0.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</row>
    <row r="835" spans="1:24" ht="15.75" customHeight="1" x14ac:dyDescent="0.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</row>
    <row r="836" spans="1:24" ht="15.75" customHeight="1" x14ac:dyDescent="0.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</row>
    <row r="837" spans="1:24" ht="15.75" customHeight="1" x14ac:dyDescent="0.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</row>
    <row r="838" spans="1:24" ht="15.75" customHeight="1" x14ac:dyDescent="0.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</row>
    <row r="839" spans="1:24" ht="15.75" customHeight="1" x14ac:dyDescent="0.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</row>
    <row r="840" spans="1:24" ht="15.75" customHeight="1" x14ac:dyDescent="0.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</row>
    <row r="841" spans="1:24" ht="15.75" customHeight="1" x14ac:dyDescent="0.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</row>
    <row r="842" spans="1:24" ht="15.75" customHeight="1" x14ac:dyDescent="0.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</row>
    <row r="843" spans="1:24" ht="15.75" customHeight="1" x14ac:dyDescent="0.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</row>
    <row r="844" spans="1:24" ht="15.75" customHeight="1" x14ac:dyDescent="0.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</row>
    <row r="845" spans="1:24" ht="15.75" customHeight="1" x14ac:dyDescent="0.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</row>
    <row r="846" spans="1:24" ht="15.75" customHeight="1" x14ac:dyDescent="0.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</row>
    <row r="847" spans="1:24" ht="15.75" customHeight="1" x14ac:dyDescent="0.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</row>
    <row r="848" spans="1:24" ht="15.75" customHeight="1" x14ac:dyDescent="0.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</row>
    <row r="849" spans="1:24" ht="15.75" customHeight="1" x14ac:dyDescent="0.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</row>
    <row r="850" spans="1:24" ht="15.75" customHeight="1" x14ac:dyDescent="0.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</row>
    <row r="851" spans="1:24" ht="15.75" customHeight="1" x14ac:dyDescent="0.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</row>
    <row r="852" spans="1:24" ht="15.75" customHeight="1" x14ac:dyDescent="0.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</row>
    <row r="853" spans="1:24" ht="15.75" customHeight="1" x14ac:dyDescent="0.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</row>
    <row r="854" spans="1:24" ht="15.75" customHeight="1" x14ac:dyDescent="0.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</row>
    <row r="855" spans="1:24" ht="15.75" customHeight="1" x14ac:dyDescent="0.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</row>
    <row r="856" spans="1:24" ht="15.75" customHeight="1" x14ac:dyDescent="0.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</row>
    <row r="857" spans="1:24" ht="15.75" customHeight="1" x14ac:dyDescent="0.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</row>
    <row r="858" spans="1:24" ht="15.75" customHeight="1" x14ac:dyDescent="0.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</row>
    <row r="859" spans="1:24" ht="15.75" customHeight="1" x14ac:dyDescent="0.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</row>
    <row r="860" spans="1:24" ht="15.75" customHeight="1" x14ac:dyDescent="0.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</row>
    <row r="861" spans="1:24" ht="15.75" customHeight="1" x14ac:dyDescent="0.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</row>
    <row r="862" spans="1:24" ht="15.75" customHeight="1" x14ac:dyDescent="0.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</row>
    <row r="863" spans="1:24" ht="15.75" customHeight="1" x14ac:dyDescent="0.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</row>
    <row r="864" spans="1:24" ht="15.75" customHeight="1" x14ac:dyDescent="0.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</row>
    <row r="865" spans="1:24" ht="15.75" customHeight="1" x14ac:dyDescent="0.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</row>
    <row r="866" spans="1:24" ht="15.75" customHeight="1" x14ac:dyDescent="0.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</row>
    <row r="867" spans="1:24" ht="15.75" customHeight="1" x14ac:dyDescent="0.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</row>
    <row r="868" spans="1:24" ht="15.75" customHeight="1" x14ac:dyDescent="0.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</row>
    <row r="869" spans="1:24" ht="15.75" customHeight="1" x14ac:dyDescent="0.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</row>
    <row r="870" spans="1:24" ht="15.75" customHeight="1" x14ac:dyDescent="0.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</row>
    <row r="871" spans="1:24" ht="15.75" customHeight="1" x14ac:dyDescent="0.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</row>
    <row r="872" spans="1:24" ht="15.75" customHeight="1" x14ac:dyDescent="0.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</row>
    <row r="873" spans="1:24" ht="15.75" customHeight="1" x14ac:dyDescent="0.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</row>
    <row r="874" spans="1:24" ht="15.75" customHeight="1" x14ac:dyDescent="0.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</row>
    <row r="875" spans="1:24" ht="15.75" customHeight="1" x14ac:dyDescent="0.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</row>
    <row r="876" spans="1:24" ht="15.75" customHeight="1" x14ac:dyDescent="0.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</row>
    <row r="877" spans="1:24" ht="15.75" customHeight="1" x14ac:dyDescent="0.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</row>
    <row r="878" spans="1:24" ht="15.75" customHeight="1" x14ac:dyDescent="0.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</row>
    <row r="879" spans="1:24" ht="15.75" customHeight="1" x14ac:dyDescent="0.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</row>
    <row r="880" spans="1:24" ht="15.75" customHeight="1" x14ac:dyDescent="0.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</row>
    <row r="881" spans="1:24" ht="15.75" customHeight="1" x14ac:dyDescent="0.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</row>
    <row r="882" spans="1:24" ht="15.75" customHeight="1" x14ac:dyDescent="0.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</row>
    <row r="883" spans="1:24" ht="15.75" customHeight="1" x14ac:dyDescent="0.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</row>
    <row r="884" spans="1:24" ht="15.75" customHeight="1" x14ac:dyDescent="0.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</row>
    <row r="885" spans="1:24" ht="15.75" customHeight="1" x14ac:dyDescent="0.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</row>
    <row r="886" spans="1:24" ht="15.75" customHeight="1" x14ac:dyDescent="0.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</row>
    <row r="887" spans="1:24" ht="15.75" customHeight="1" x14ac:dyDescent="0.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</row>
    <row r="888" spans="1:24" ht="15.75" customHeight="1" x14ac:dyDescent="0.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</row>
    <row r="889" spans="1:24" ht="15.75" customHeight="1" x14ac:dyDescent="0.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</row>
    <row r="890" spans="1:24" ht="15.75" customHeight="1" x14ac:dyDescent="0.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</row>
    <row r="891" spans="1:24" ht="15.75" customHeight="1" x14ac:dyDescent="0.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</row>
    <row r="892" spans="1:24" ht="15.75" customHeight="1" x14ac:dyDescent="0.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</row>
    <row r="893" spans="1:24" ht="15.75" customHeight="1" x14ac:dyDescent="0.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</row>
    <row r="894" spans="1:24" ht="15.75" customHeight="1" x14ac:dyDescent="0.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</row>
    <row r="895" spans="1:24" ht="15.75" customHeight="1" x14ac:dyDescent="0.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</row>
    <row r="896" spans="1:24" ht="15.75" customHeight="1" x14ac:dyDescent="0.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</row>
    <row r="897" spans="1:24" ht="15.75" customHeight="1" x14ac:dyDescent="0.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</row>
    <row r="898" spans="1:24" ht="15.75" customHeight="1" x14ac:dyDescent="0.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</row>
    <row r="899" spans="1:24" ht="15.75" customHeight="1" x14ac:dyDescent="0.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</row>
    <row r="900" spans="1:24" ht="15.75" customHeight="1" x14ac:dyDescent="0.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</row>
    <row r="901" spans="1:24" ht="15.75" customHeight="1" x14ac:dyDescent="0.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</row>
    <row r="902" spans="1:24" ht="15.75" customHeight="1" x14ac:dyDescent="0.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</row>
    <row r="903" spans="1:24" ht="15.75" customHeight="1" x14ac:dyDescent="0.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</row>
    <row r="904" spans="1:24" ht="15.75" customHeight="1" x14ac:dyDescent="0.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</row>
    <row r="905" spans="1:24" ht="15.75" customHeight="1" x14ac:dyDescent="0.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</row>
    <row r="906" spans="1:24" ht="15.75" customHeight="1" x14ac:dyDescent="0.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</row>
    <row r="907" spans="1:24" ht="15.75" customHeight="1" x14ac:dyDescent="0.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</row>
    <row r="908" spans="1:24" ht="15.75" customHeight="1" x14ac:dyDescent="0.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</row>
    <row r="909" spans="1:24" ht="15.75" customHeight="1" x14ac:dyDescent="0.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</row>
    <row r="910" spans="1:24" ht="15.75" customHeight="1" x14ac:dyDescent="0.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</row>
    <row r="911" spans="1:24" ht="15.75" customHeight="1" x14ac:dyDescent="0.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</row>
    <row r="912" spans="1:24" ht="15.75" customHeight="1" x14ac:dyDescent="0.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</row>
    <row r="913" spans="1:24" ht="15.75" customHeight="1" x14ac:dyDescent="0.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</row>
    <row r="914" spans="1:24" ht="15.75" customHeight="1" x14ac:dyDescent="0.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</row>
    <row r="915" spans="1:24" ht="15.75" customHeight="1" x14ac:dyDescent="0.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</row>
    <row r="916" spans="1:24" ht="15.75" customHeight="1" x14ac:dyDescent="0.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</row>
    <row r="917" spans="1:24" ht="15.75" customHeight="1" x14ac:dyDescent="0.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</row>
    <row r="918" spans="1:24" ht="15.75" customHeight="1" x14ac:dyDescent="0.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</row>
    <row r="919" spans="1:24" ht="15.75" customHeight="1" x14ac:dyDescent="0.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</row>
    <row r="920" spans="1:24" ht="15.75" customHeight="1" x14ac:dyDescent="0.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</row>
    <row r="921" spans="1:24" ht="15.75" customHeight="1" x14ac:dyDescent="0.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</row>
    <row r="922" spans="1:24" ht="15.75" customHeight="1" x14ac:dyDescent="0.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</row>
    <row r="923" spans="1:24" ht="15.75" customHeight="1" x14ac:dyDescent="0.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</row>
    <row r="924" spans="1:24" ht="15.75" customHeight="1" x14ac:dyDescent="0.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</row>
    <row r="925" spans="1:24" ht="15.75" customHeight="1" x14ac:dyDescent="0.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</row>
    <row r="926" spans="1:24" ht="15.75" customHeight="1" x14ac:dyDescent="0.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</row>
    <row r="927" spans="1:24" ht="15.75" customHeight="1" x14ac:dyDescent="0.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</row>
    <row r="928" spans="1:24" ht="15.75" customHeight="1" x14ac:dyDescent="0.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</row>
    <row r="929" spans="1:24" ht="15.75" customHeight="1" x14ac:dyDescent="0.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</row>
    <row r="930" spans="1:24" ht="15.75" customHeight="1" x14ac:dyDescent="0.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</row>
    <row r="931" spans="1:24" ht="15.75" customHeight="1" x14ac:dyDescent="0.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</row>
    <row r="932" spans="1:24" ht="15.75" customHeight="1" x14ac:dyDescent="0.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</row>
    <row r="933" spans="1:24" ht="15.75" customHeight="1" x14ac:dyDescent="0.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</row>
    <row r="934" spans="1:24" ht="15.75" customHeight="1" x14ac:dyDescent="0.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</row>
    <row r="935" spans="1:24" ht="15.75" customHeight="1" x14ac:dyDescent="0.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</row>
    <row r="936" spans="1:24" ht="15.75" customHeight="1" x14ac:dyDescent="0.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</row>
    <row r="937" spans="1:24" ht="15.75" customHeight="1" x14ac:dyDescent="0.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</row>
    <row r="938" spans="1:24" ht="15.75" customHeight="1" x14ac:dyDescent="0.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</row>
    <row r="939" spans="1:24" ht="15.75" customHeight="1" x14ac:dyDescent="0.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</row>
    <row r="940" spans="1:24" ht="15.75" customHeight="1" x14ac:dyDescent="0.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</row>
    <row r="941" spans="1:24" ht="15.75" customHeight="1" x14ac:dyDescent="0.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</row>
    <row r="942" spans="1:24" ht="15.75" customHeight="1" x14ac:dyDescent="0.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</row>
    <row r="943" spans="1:24" ht="15.75" customHeight="1" x14ac:dyDescent="0.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</row>
    <row r="944" spans="1:24" ht="15.75" customHeight="1" x14ac:dyDescent="0.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</row>
    <row r="945" spans="1:24" ht="15.75" customHeight="1" x14ac:dyDescent="0.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</row>
    <row r="946" spans="1:24" ht="15.75" customHeight="1" x14ac:dyDescent="0.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</row>
    <row r="947" spans="1:24" ht="15.75" customHeight="1" x14ac:dyDescent="0.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</row>
    <row r="948" spans="1:24" ht="15.75" customHeight="1" x14ac:dyDescent="0.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</row>
    <row r="949" spans="1:24" ht="15.75" customHeight="1" x14ac:dyDescent="0.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</row>
    <row r="950" spans="1:24" ht="15.75" customHeight="1" x14ac:dyDescent="0.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</row>
    <row r="951" spans="1:24" ht="15.75" customHeight="1" x14ac:dyDescent="0.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</row>
    <row r="952" spans="1:24" ht="15.75" customHeight="1" x14ac:dyDescent="0.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</row>
    <row r="953" spans="1:24" ht="15.75" customHeight="1" x14ac:dyDescent="0.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</row>
    <row r="954" spans="1:24" ht="15.75" customHeight="1" x14ac:dyDescent="0.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</row>
    <row r="955" spans="1:24" ht="15.75" customHeight="1" x14ac:dyDescent="0.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</row>
    <row r="956" spans="1:24" ht="15.75" customHeight="1" x14ac:dyDescent="0.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</row>
    <row r="957" spans="1:24" ht="15.75" customHeight="1" x14ac:dyDescent="0.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</row>
    <row r="958" spans="1:24" ht="15.75" customHeight="1" x14ac:dyDescent="0.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</row>
    <row r="959" spans="1:24" ht="15.75" customHeight="1" x14ac:dyDescent="0.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</row>
    <row r="960" spans="1:24" ht="15.75" customHeight="1" x14ac:dyDescent="0.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</row>
    <row r="961" spans="1:24" ht="15.75" customHeight="1" x14ac:dyDescent="0.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</row>
    <row r="962" spans="1:24" ht="15.75" customHeight="1" x14ac:dyDescent="0.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</row>
    <row r="963" spans="1:24" ht="15.75" customHeight="1" x14ac:dyDescent="0.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</row>
    <row r="964" spans="1:24" ht="15.75" customHeight="1" x14ac:dyDescent="0.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</row>
    <row r="965" spans="1:24" ht="15.75" customHeight="1" x14ac:dyDescent="0.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</row>
    <row r="966" spans="1:24" ht="15.75" customHeight="1" x14ac:dyDescent="0.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</row>
    <row r="967" spans="1:24" ht="15.75" customHeight="1" x14ac:dyDescent="0.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</row>
    <row r="968" spans="1:24" ht="15.75" customHeight="1" x14ac:dyDescent="0.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</row>
    <row r="969" spans="1:24" ht="15.75" customHeight="1" x14ac:dyDescent="0.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</row>
    <row r="970" spans="1:24" ht="15.75" customHeight="1" x14ac:dyDescent="0.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</row>
    <row r="971" spans="1:24" ht="15.75" customHeight="1" x14ac:dyDescent="0.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</row>
    <row r="972" spans="1:24" ht="15.75" customHeight="1" x14ac:dyDescent="0.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</row>
    <row r="973" spans="1:24" ht="15.75" customHeight="1" x14ac:dyDescent="0.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</row>
    <row r="974" spans="1:24" ht="15.75" customHeight="1" x14ac:dyDescent="0.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</row>
    <row r="975" spans="1:24" ht="15.75" customHeight="1" x14ac:dyDescent="0.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</row>
    <row r="976" spans="1:24" ht="15.75" customHeight="1" x14ac:dyDescent="0.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</row>
    <row r="977" spans="1:24" ht="15.75" customHeight="1" x14ac:dyDescent="0.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</row>
    <row r="978" spans="1:24" ht="15.75" customHeight="1" x14ac:dyDescent="0.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</row>
    <row r="979" spans="1:24" ht="15.75" customHeight="1" x14ac:dyDescent="0.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</row>
    <row r="980" spans="1:24" ht="15.75" customHeight="1" x14ac:dyDescent="0.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</row>
    <row r="981" spans="1:24" ht="15.75" customHeight="1" x14ac:dyDescent="0.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</row>
    <row r="982" spans="1:24" ht="15.75" customHeight="1" x14ac:dyDescent="0.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</row>
    <row r="983" spans="1:24" ht="15.75" customHeight="1" x14ac:dyDescent="0.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</row>
    <row r="984" spans="1:24" ht="15.75" customHeight="1" x14ac:dyDescent="0.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</row>
    <row r="985" spans="1:24" ht="15.75" customHeight="1" x14ac:dyDescent="0.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</row>
    <row r="986" spans="1:24" ht="15.75" customHeight="1" x14ac:dyDescent="0.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</row>
    <row r="987" spans="1:24" ht="15.75" customHeight="1" x14ac:dyDescent="0.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</row>
    <row r="988" spans="1:24" ht="15.75" customHeight="1" x14ac:dyDescent="0.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</row>
    <row r="989" spans="1:24" ht="15.75" customHeight="1" x14ac:dyDescent="0.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</row>
    <row r="990" spans="1:24" ht="15.75" customHeight="1" x14ac:dyDescent="0.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</row>
    <row r="991" spans="1:24" ht="15.75" customHeight="1" x14ac:dyDescent="0.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</row>
    <row r="992" spans="1:24" ht="15.75" customHeight="1" x14ac:dyDescent="0.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</row>
    <row r="993" spans="1:24" ht="15.75" customHeight="1" x14ac:dyDescent="0.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</row>
    <row r="994" spans="1:24" ht="15.75" customHeight="1" x14ac:dyDescent="0.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</row>
    <row r="995" spans="1:24" ht="15.75" customHeight="1" x14ac:dyDescent="0.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</row>
    <row r="996" spans="1:24" ht="15.75" customHeight="1" x14ac:dyDescent="0.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</row>
    <row r="997" spans="1:24" ht="15.75" customHeight="1" x14ac:dyDescent="0.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</row>
    <row r="998" spans="1:24" ht="15.75" customHeight="1" x14ac:dyDescent="0.2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</row>
    <row r="999" spans="1:24" ht="15.75" customHeight="1" x14ac:dyDescent="0.2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</row>
  </sheetData>
  <pageMargins left="0.75" right="0.75" top="1" bottom="1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201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2" max="2" width="31.7109375" customWidth="1"/>
    <col min="3" max="3" width="17.28515625" customWidth="1"/>
    <col min="4" max="5" width="15.140625" customWidth="1"/>
    <col min="6" max="6" width="18" customWidth="1"/>
    <col min="7" max="7" width="18.85546875" customWidth="1"/>
    <col min="8" max="8" width="18.42578125" customWidth="1"/>
    <col min="9" max="9" width="15.140625" customWidth="1"/>
  </cols>
  <sheetData>
    <row r="1" spans="1:9" ht="22.5" customHeight="1" x14ac:dyDescent="0.25">
      <c r="A1" s="2" t="s">
        <v>0</v>
      </c>
      <c r="B1" s="2" t="s">
        <v>4</v>
      </c>
      <c r="C1" s="2" t="s">
        <v>7</v>
      </c>
      <c r="D1" s="2" t="s">
        <v>8</v>
      </c>
      <c r="E1" s="2" t="s">
        <v>10</v>
      </c>
      <c r="F1" s="2" t="s">
        <v>12</v>
      </c>
      <c r="G1" s="2" t="s">
        <v>14</v>
      </c>
      <c r="H1" s="2" t="s">
        <v>16</v>
      </c>
      <c r="I1" s="2" t="s">
        <v>18</v>
      </c>
    </row>
    <row r="2" spans="1:9" ht="22.5" customHeight="1" x14ac:dyDescent="0.25">
      <c r="A2" s="4">
        <v>1</v>
      </c>
      <c r="B2" s="5" t="s">
        <v>23</v>
      </c>
      <c r="C2" s="6" t="s">
        <v>25</v>
      </c>
      <c r="D2" s="6" t="s">
        <v>27</v>
      </c>
      <c r="E2" s="6" t="s">
        <v>29</v>
      </c>
      <c r="F2" s="6" t="s">
        <v>31</v>
      </c>
      <c r="G2" s="6" t="s">
        <v>32</v>
      </c>
      <c r="H2" s="6" t="s">
        <v>33</v>
      </c>
      <c r="I2" s="6" t="s">
        <v>34</v>
      </c>
    </row>
    <row r="3" spans="1:9" ht="22.5" customHeight="1" x14ac:dyDescent="0.25">
      <c r="A3" s="4">
        <v>2</v>
      </c>
      <c r="B3" s="5" t="s">
        <v>37</v>
      </c>
      <c r="C3" s="6" t="s">
        <v>39</v>
      </c>
      <c r="D3" s="6" t="s">
        <v>41</v>
      </c>
      <c r="E3" s="6" t="s">
        <v>43</v>
      </c>
      <c r="F3" s="6" t="s">
        <v>45</v>
      </c>
      <c r="G3" s="6" t="s">
        <v>47</v>
      </c>
      <c r="H3" s="6" t="s">
        <v>27</v>
      </c>
      <c r="I3" s="6" t="s">
        <v>48</v>
      </c>
    </row>
    <row r="4" spans="1:9" ht="22.5" customHeight="1" x14ac:dyDescent="0.25">
      <c r="A4" s="4">
        <v>3</v>
      </c>
      <c r="B4" s="5" t="s">
        <v>49</v>
      </c>
      <c r="C4" s="6" t="s">
        <v>50</v>
      </c>
      <c r="D4" s="6" t="s">
        <v>51</v>
      </c>
      <c r="E4" s="6" t="s">
        <v>52</v>
      </c>
      <c r="F4" s="6" t="s">
        <v>53</v>
      </c>
      <c r="G4" s="6" t="s">
        <v>54</v>
      </c>
      <c r="H4" s="6" t="s">
        <v>27</v>
      </c>
      <c r="I4" s="6" t="s">
        <v>55</v>
      </c>
    </row>
    <row r="5" spans="1:9" ht="22.5" customHeight="1" x14ac:dyDescent="0.25">
      <c r="A5" s="4">
        <v>4</v>
      </c>
      <c r="B5" s="5" t="s">
        <v>56</v>
      </c>
      <c r="C5" s="6" t="s">
        <v>57</v>
      </c>
      <c r="D5" s="6" t="s">
        <v>58</v>
      </c>
      <c r="E5" s="6" t="s">
        <v>59</v>
      </c>
      <c r="F5" s="6" t="s">
        <v>60</v>
      </c>
      <c r="G5" s="6" t="s">
        <v>27</v>
      </c>
      <c r="H5" s="6" t="s">
        <v>61</v>
      </c>
      <c r="I5" s="6" t="s">
        <v>62</v>
      </c>
    </row>
    <row r="6" spans="1:9" ht="22.5" customHeight="1" x14ac:dyDescent="0.25">
      <c r="A6" s="4">
        <v>5</v>
      </c>
      <c r="B6" s="5" t="s">
        <v>63</v>
      </c>
      <c r="C6" s="6" t="s">
        <v>64</v>
      </c>
      <c r="D6" s="6" t="s">
        <v>65</v>
      </c>
      <c r="E6" s="6" t="s">
        <v>66</v>
      </c>
      <c r="F6" s="6" t="s">
        <v>68</v>
      </c>
      <c r="G6" s="6" t="s">
        <v>69</v>
      </c>
      <c r="H6" s="6" t="s">
        <v>70</v>
      </c>
      <c r="I6" s="6" t="s">
        <v>27</v>
      </c>
    </row>
    <row r="7" spans="1:9" ht="22.5" customHeight="1" x14ac:dyDescent="0.25">
      <c r="A7" s="4">
        <v>6</v>
      </c>
      <c r="B7" s="5" t="s">
        <v>73</v>
      </c>
      <c r="C7" s="6" t="s">
        <v>74</v>
      </c>
      <c r="D7" s="6" t="s">
        <v>75</v>
      </c>
      <c r="E7" s="6" t="s">
        <v>77</v>
      </c>
      <c r="F7" s="6" t="s">
        <v>78</v>
      </c>
      <c r="G7" s="6" t="s">
        <v>79</v>
      </c>
      <c r="H7" s="6" t="s">
        <v>27</v>
      </c>
      <c r="I7" s="6" t="s">
        <v>80</v>
      </c>
    </row>
    <row r="8" spans="1:9" ht="22.5" customHeight="1" x14ac:dyDescent="0.25">
      <c r="A8" s="4">
        <v>7</v>
      </c>
      <c r="B8" s="5" t="s">
        <v>81</v>
      </c>
      <c r="C8" s="6" t="s">
        <v>82</v>
      </c>
      <c r="D8" s="6" t="s">
        <v>83</v>
      </c>
      <c r="E8" s="6" t="s">
        <v>84</v>
      </c>
      <c r="F8" s="6" t="s">
        <v>85</v>
      </c>
      <c r="G8" s="6" t="s">
        <v>86</v>
      </c>
      <c r="H8" s="6" t="s">
        <v>87</v>
      </c>
      <c r="I8" s="6" t="s">
        <v>27</v>
      </c>
    </row>
    <row r="9" spans="1:9" ht="22.5" customHeight="1" x14ac:dyDescent="0.25">
      <c r="A9" s="4">
        <v>8</v>
      </c>
      <c r="B9" s="5" t="s">
        <v>89</v>
      </c>
      <c r="C9" s="6" t="s">
        <v>91</v>
      </c>
      <c r="D9" s="6" t="s">
        <v>92</v>
      </c>
      <c r="E9" s="6" t="s">
        <v>94</v>
      </c>
      <c r="F9" s="6" t="s">
        <v>96</v>
      </c>
      <c r="G9" s="6" t="s">
        <v>97</v>
      </c>
      <c r="H9" s="6" t="s">
        <v>98</v>
      </c>
      <c r="I9" s="6" t="s">
        <v>27</v>
      </c>
    </row>
    <row r="10" spans="1:9" ht="22.5" customHeight="1" x14ac:dyDescent="0.25">
      <c r="A10" s="4">
        <v>9</v>
      </c>
      <c r="B10" s="5" t="s">
        <v>99</v>
      </c>
      <c r="C10" s="6" t="s">
        <v>100</v>
      </c>
      <c r="D10" s="6" t="s">
        <v>101</v>
      </c>
      <c r="E10" s="6" t="s">
        <v>102</v>
      </c>
      <c r="F10" s="6" t="s">
        <v>103</v>
      </c>
      <c r="G10" s="6" t="s">
        <v>104</v>
      </c>
      <c r="H10" s="6" t="s">
        <v>27</v>
      </c>
      <c r="I10" s="6" t="s">
        <v>106</v>
      </c>
    </row>
    <row r="11" spans="1:9" ht="22.5" customHeight="1" x14ac:dyDescent="0.25">
      <c r="A11" s="4">
        <v>10</v>
      </c>
      <c r="B11" s="5" t="s">
        <v>107</v>
      </c>
      <c r="C11" s="6" t="s">
        <v>109</v>
      </c>
      <c r="D11" s="6" t="s">
        <v>111</v>
      </c>
      <c r="E11" s="6" t="s">
        <v>113</v>
      </c>
      <c r="F11" s="6" t="s">
        <v>114</v>
      </c>
      <c r="G11" s="6" t="s">
        <v>115</v>
      </c>
      <c r="H11" s="6" t="s">
        <v>27</v>
      </c>
      <c r="I11" s="6" t="s">
        <v>116</v>
      </c>
    </row>
    <row r="12" spans="1:9" ht="22.5" customHeight="1" x14ac:dyDescent="0.25">
      <c r="A12" s="4">
        <v>11</v>
      </c>
      <c r="B12" s="5" t="s">
        <v>117</v>
      </c>
      <c r="C12" s="6" t="s">
        <v>118</v>
      </c>
      <c r="D12" s="6" t="s">
        <v>119</v>
      </c>
      <c r="E12" s="6" t="s">
        <v>120</v>
      </c>
      <c r="F12" s="6" t="s">
        <v>121</v>
      </c>
      <c r="G12" s="6" t="s">
        <v>123</v>
      </c>
      <c r="H12" s="6" t="s">
        <v>124</v>
      </c>
      <c r="I12" s="6" t="s">
        <v>126</v>
      </c>
    </row>
    <row r="13" spans="1:9" ht="22.5" customHeight="1" x14ac:dyDescent="0.25">
      <c r="A13" s="4">
        <v>12</v>
      </c>
      <c r="B13" s="5" t="s">
        <v>128</v>
      </c>
      <c r="C13" s="6" t="s">
        <v>130</v>
      </c>
      <c r="D13" s="6" t="s">
        <v>131</v>
      </c>
      <c r="E13" s="6" t="s">
        <v>132</v>
      </c>
      <c r="F13" s="6" t="s">
        <v>133</v>
      </c>
      <c r="G13" s="6" t="s">
        <v>134</v>
      </c>
      <c r="H13" s="6" t="s">
        <v>135</v>
      </c>
      <c r="I13" s="6" t="s">
        <v>126</v>
      </c>
    </row>
    <row r="14" spans="1:9" ht="22.5" customHeight="1" x14ac:dyDescent="0.25">
      <c r="A14" s="4">
        <v>13</v>
      </c>
      <c r="B14" s="5" t="s">
        <v>136</v>
      </c>
      <c r="C14" s="6" t="s">
        <v>137</v>
      </c>
      <c r="D14" s="6" t="s">
        <v>139</v>
      </c>
      <c r="E14" s="6" t="s">
        <v>140</v>
      </c>
      <c r="F14" s="6" t="s">
        <v>141</v>
      </c>
      <c r="G14" s="6" t="s">
        <v>142</v>
      </c>
      <c r="H14" s="6" t="s">
        <v>143</v>
      </c>
      <c r="I14" s="6" t="s">
        <v>144</v>
      </c>
    </row>
    <row r="15" spans="1:9" ht="22.5" customHeight="1" x14ac:dyDescent="0.25">
      <c r="A15" s="4">
        <v>14</v>
      </c>
      <c r="B15" s="5" t="s">
        <v>135</v>
      </c>
      <c r="C15" s="6" t="s">
        <v>130</v>
      </c>
      <c r="D15" s="6" t="s">
        <v>137</v>
      </c>
      <c r="E15" s="6" t="s">
        <v>140</v>
      </c>
      <c r="F15" s="6" t="s">
        <v>147</v>
      </c>
      <c r="G15" s="6" t="s">
        <v>148</v>
      </c>
      <c r="H15" s="6" t="s">
        <v>149</v>
      </c>
      <c r="I15" s="6" t="s">
        <v>150</v>
      </c>
    </row>
    <row r="16" spans="1:9" ht="22.5" customHeight="1" x14ac:dyDescent="0.25">
      <c r="A16" s="4">
        <v>15</v>
      </c>
      <c r="B16" s="5" t="s">
        <v>122</v>
      </c>
      <c r="C16" s="6" t="s">
        <v>29</v>
      </c>
      <c r="D16" s="6" t="s">
        <v>153</v>
      </c>
      <c r="E16" s="6" t="s">
        <v>154</v>
      </c>
      <c r="F16" s="6" t="s">
        <v>155</v>
      </c>
      <c r="G16" s="6" t="s">
        <v>156</v>
      </c>
      <c r="H16" s="6" t="s">
        <v>157</v>
      </c>
      <c r="I16" s="6" t="s">
        <v>119</v>
      </c>
    </row>
    <row r="17" spans="1:9" ht="22.5" customHeight="1" x14ac:dyDescent="0.25">
      <c r="A17" s="4">
        <v>16</v>
      </c>
      <c r="B17" s="5" t="s">
        <v>158</v>
      </c>
      <c r="C17" s="6" t="s">
        <v>159</v>
      </c>
      <c r="D17" s="6" t="s">
        <v>160</v>
      </c>
      <c r="E17" s="6" t="s">
        <v>143</v>
      </c>
      <c r="F17" s="6" t="s">
        <v>161</v>
      </c>
      <c r="G17" s="6" t="s">
        <v>163</v>
      </c>
      <c r="H17" s="6" t="s">
        <v>20</v>
      </c>
      <c r="I17" s="6" t="s">
        <v>126</v>
      </c>
    </row>
    <row r="18" spans="1:9" ht="22.5" customHeight="1" x14ac:dyDescent="0.25">
      <c r="A18" s="4">
        <v>17</v>
      </c>
      <c r="B18" s="5" t="s">
        <v>138</v>
      </c>
      <c r="C18" s="6" t="s">
        <v>164</v>
      </c>
      <c r="D18" s="6" t="s">
        <v>165</v>
      </c>
      <c r="E18" s="6" t="s">
        <v>166</v>
      </c>
      <c r="F18" s="6" t="s">
        <v>168</v>
      </c>
      <c r="G18" s="6" t="s">
        <v>27</v>
      </c>
      <c r="H18" s="6" t="s">
        <v>126</v>
      </c>
      <c r="I18" s="6" t="s">
        <v>39</v>
      </c>
    </row>
    <row r="19" spans="1:9" ht="22.5" customHeight="1" x14ac:dyDescent="0.25">
      <c r="A19" s="4">
        <v>18</v>
      </c>
      <c r="B19" s="5" t="s">
        <v>170</v>
      </c>
      <c r="C19" s="6" t="s">
        <v>171</v>
      </c>
      <c r="D19" s="6" t="s">
        <v>66</v>
      </c>
      <c r="E19" s="6" t="s">
        <v>172</v>
      </c>
      <c r="F19" s="6" t="s">
        <v>173</v>
      </c>
      <c r="G19" s="6" t="s">
        <v>174</v>
      </c>
      <c r="H19" s="6" t="s">
        <v>31</v>
      </c>
      <c r="I19" s="6" t="s">
        <v>175</v>
      </c>
    </row>
    <row r="20" spans="1:9" ht="22.5" customHeight="1" x14ac:dyDescent="0.25">
      <c r="A20" s="4">
        <v>19</v>
      </c>
      <c r="B20" s="5" t="s">
        <v>177</v>
      </c>
      <c r="C20" s="6" t="s">
        <v>57</v>
      </c>
      <c r="D20" s="6" t="s">
        <v>56</v>
      </c>
      <c r="E20" s="6" t="s">
        <v>132</v>
      </c>
      <c r="F20" s="6" t="s">
        <v>171</v>
      </c>
      <c r="G20" s="6" t="s">
        <v>172</v>
      </c>
      <c r="H20" s="6" t="s">
        <v>175</v>
      </c>
      <c r="I20" s="6" t="s">
        <v>181</v>
      </c>
    </row>
    <row r="21" spans="1:9" ht="22.5" customHeight="1" x14ac:dyDescent="0.25">
      <c r="A21" s="4">
        <v>20</v>
      </c>
      <c r="B21" s="5" t="s">
        <v>182</v>
      </c>
      <c r="C21" s="6" t="s">
        <v>183</v>
      </c>
      <c r="D21" s="6" t="s">
        <v>34</v>
      </c>
      <c r="E21" s="6" t="s">
        <v>184</v>
      </c>
      <c r="F21" s="6" t="s">
        <v>172</v>
      </c>
      <c r="G21" s="6" t="s">
        <v>186</v>
      </c>
      <c r="H21" s="6" t="s">
        <v>187</v>
      </c>
      <c r="I21" s="6" t="s">
        <v>188</v>
      </c>
    </row>
    <row r="22" spans="1:9" ht="22.5" customHeight="1" x14ac:dyDescent="0.25">
      <c r="A22" s="4">
        <v>21</v>
      </c>
      <c r="B22" s="5" t="s">
        <v>191</v>
      </c>
      <c r="C22" s="6" t="s">
        <v>193</v>
      </c>
      <c r="D22" s="6" t="s">
        <v>194</v>
      </c>
      <c r="E22" s="6" t="s">
        <v>195</v>
      </c>
      <c r="F22" s="6" t="s">
        <v>196</v>
      </c>
      <c r="G22" s="6" t="s">
        <v>197</v>
      </c>
      <c r="H22" s="6" t="s">
        <v>126</v>
      </c>
      <c r="I22" s="6" t="s">
        <v>199</v>
      </c>
    </row>
    <row r="23" spans="1:9" ht="22.5" customHeight="1" x14ac:dyDescent="0.25">
      <c r="A23" s="4">
        <v>22</v>
      </c>
      <c r="B23" s="5" t="s">
        <v>201</v>
      </c>
      <c r="C23" s="6" t="s">
        <v>202</v>
      </c>
      <c r="D23" s="6" t="s">
        <v>203</v>
      </c>
      <c r="E23" s="6" t="s">
        <v>197</v>
      </c>
      <c r="F23" s="6" t="s">
        <v>126</v>
      </c>
      <c r="G23" s="6" t="s">
        <v>150</v>
      </c>
      <c r="H23" s="6" t="s">
        <v>135</v>
      </c>
      <c r="I23" s="6" t="s">
        <v>204</v>
      </c>
    </row>
    <row r="24" spans="1:9" ht="22.5" customHeight="1" x14ac:dyDescent="0.25">
      <c r="A24" s="4">
        <v>23</v>
      </c>
      <c r="B24" s="5" t="s">
        <v>124</v>
      </c>
      <c r="C24" s="6" t="s">
        <v>118</v>
      </c>
      <c r="D24" s="6" t="s">
        <v>123</v>
      </c>
      <c r="E24" s="6" t="s">
        <v>160</v>
      </c>
      <c r="F24" s="6" t="s">
        <v>206</v>
      </c>
      <c r="G24" s="6" t="s">
        <v>207</v>
      </c>
      <c r="H24" s="6" t="s">
        <v>208</v>
      </c>
      <c r="I24" s="6" t="s">
        <v>209</v>
      </c>
    </row>
    <row r="25" spans="1:9" ht="22.5" customHeight="1" x14ac:dyDescent="0.25">
      <c r="A25" s="4">
        <v>24</v>
      </c>
      <c r="B25" s="5" t="s">
        <v>211</v>
      </c>
      <c r="C25" s="6" t="s">
        <v>118</v>
      </c>
      <c r="D25" s="6" t="s">
        <v>124</v>
      </c>
      <c r="E25" s="6" t="s">
        <v>215</v>
      </c>
      <c r="F25" s="6" t="s">
        <v>217</v>
      </c>
      <c r="G25" s="6" t="s">
        <v>69</v>
      </c>
      <c r="H25" s="6" t="s">
        <v>132</v>
      </c>
      <c r="I25" s="6" t="s">
        <v>207</v>
      </c>
    </row>
    <row r="26" spans="1:9" ht="22.5" customHeight="1" x14ac:dyDescent="0.25">
      <c r="A26" s="4">
        <v>25</v>
      </c>
      <c r="B26" s="5" t="s">
        <v>218</v>
      </c>
      <c r="C26" s="6" t="s">
        <v>220</v>
      </c>
      <c r="D26" s="6" t="s">
        <v>221</v>
      </c>
      <c r="E26" s="6" t="s">
        <v>222</v>
      </c>
      <c r="F26" s="6" t="s">
        <v>224</v>
      </c>
      <c r="G26" s="6" t="s">
        <v>225</v>
      </c>
      <c r="H26" s="6" t="s">
        <v>186</v>
      </c>
      <c r="I26" s="6" t="s">
        <v>165</v>
      </c>
    </row>
    <row r="27" spans="1:9" ht="22.5" customHeight="1" x14ac:dyDescent="0.25">
      <c r="A27" s="4">
        <v>26</v>
      </c>
      <c r="B27" s="5" t="s">
        <v>226</v>
      </c>
      <c r="C27" s="6" t="s">
        <v>227</v>
      </c>
      <c r="D27" s="6" t="s">
        <v>39</v>
      </c>
      <c r="E27" s="6" t="s">
        <v>228</v>
      </c>
      <c r="F27" s="6" t="s">
        <v>229</v>
      </c>
      <c r="G27" s="6" t="s">
        <v>230</v>
      </c>
      <c r="H27" s="6" t="s">
        <v>225</v>
      </c>
      <c r="I27" s="6" t="s">
        <v>116</v>
      </c>
    </row>
    <row r="28" spans="1:9" ht="22.5" customHeight="1" x14ac:dyDescent="0.25">
      <c r="A28" s="4">
        <v>27</v>
      </c>
      <c r="B28" s="5" t="s">
        <v>232</v>
      </c>
      <c r="C28" s="6" t="s">
        <v>165</v>
      </c>
      <c r="D28" s="6" t="s">
        <v>233</v>
      </c>
      <c r="E28" s="6" t="s">
        <v>234</v>
      </c>
      <c r="F28" s="6" t="s">
        <v>144</v>
      </c>
      <c r="G28" s="6" t="s">
        <v>150</v>
      </c>
      <c r="H28" s="6" t="s">
        <v>235</v>
      </c>
      <c r="I28" s="6" t="s">
        <v>236</v>
      </c>
    </row>
    <row r="29" spans="1:9" ht="22.5" customHeight="1" x14ac:dyDescent="0.25">
      <c r="A29" s="4">
        <v>28</v>
      </c>
      <c r="B29" s="5" t="s">
        <v>67</v>
      </c>
      <c r="C29" s="6" t="s">
        <v>165</v>
      </c>
      <c r="D29" s="6" t="s">
        <v>239</v>
      </c>
      <c r="E29" s="6" t="s">
        <v>192</v>
      </c>
      <c r="F29" s="6" t="s">
        <v>240</v>
      </c>
      <c r="G29" s="6" t="s">
        <v>241</v>
      </c>
      <c r="H29" s="6" t="s">
        <v>242</v>
      </c>
      <c r="I29" s="6" t="s">
        <v>219</v>
      </c>
    </row>
    <row r="30" spans="1:9" ht="22.5" customHeight="1" x14ac:dyDescent="0.25">
      <c r="A30" s="4">
        <v>29</v>
      </c>
      <c r="B30" s="5" t="s">
        <v>243</v>
      </c>
      <c r="C30" s="6" t="s">
        <v>165</v>
      </c>
      <c r="D30" s="6" t="s">
        <v>245</v>
      </c>
      <c r="E30" s="6" t="s">
        <v>246</v>
      </c>
      <c r="F30" s="6" t="s">
        <v>247</v>
      </c>
      <c r="G30" s="6" t="s">
        <v>248</v>
      </c>
      <c r="H30" s="6" t="s">
        <v>249</v>
      </c>
      <c r="I30" s="6" t="s">
        <v>250</v>
      </c>
    </row>
    <row r="31" spans="1:9" ht="22.5" customHeight="1" x14ac:dyDescent="0.25">
      <c r="A31" s="4">
        <v>30</v>
      </c>
      <c r="B31" s="5" t="s">
        <v>251</v>
      </c>
      <c r="C31" s="6" t="s">
        <v>165</v>
      </c>
      <c r="D31" s="6" t="s">
        <v>253</v>
      </c>
      <c r="E31" s="6" t="s">
        <v>254</v>
      </c>
      <c r="F31" s="6" t="s">
        <v>256</v>
      </c>
      <c r="G31" s="6" t="s">
        <v>258</v>
      </c>
      <c r="H31" s="6" t="s">
        <v>259</v>
      </c>
      <c r="I31" s="6" t="s">
        <v>150</v>
      </c>
    </row>
    <row r="32" spans="1:9" ht="22.5" customHeight="1" x14ac:dyDescent="0.25">
      <c r="A32" s="4">
        <v>31</v>
      </c>
      <c r="B32" s="5" t="s">
        <v>236</v>
      </c>
      <c r="C32" s="6" t="s">
        <v>260</v>
      </c>
      <c r="D32" s="6" t="s">
        <v>262</v>
      </c>
      <c r="E32" s="6" t="s">
        <v>263</v>
      </c>
      <c r="F32" s="6" t="s">
        <v>142</v>
      </c>
      <c r="G32" s="6" t="s">
        <v>265</v>
      </c>
      <c r="H32" s="6" t="s">
        <v>268</v>
      </c>
      <c r="I32" s="6" t="s">
        <v>269</v>
      </c>
    </row>
    <row r="33" spans="1:9" ht="22.5" customHeight="1" x14ac:dyDescent="0.25">
      <c r="A33" s="4">
        <v>32</v>
      </c>
      <c r="B33" s="5" t="s">
        <v>270</v>
      </c>
      <c r="C33" s="6" t="s">
        <v>271</v>
      </c>
      <c r="D33" s="6" t="s">
        <v>273</v>
      </c>
      <c r="E33" s="6" t="s">
        <v>142</v>
      </c>
      <c r="F33" s="6" t="s">
        <v>265</v>
      </c>
      <c r="G33" s="6" t="s">
        <v>275</v>
      </c>
      <c r="H33" s="6" t="s">
        <v>276</v>
      </c>
      <c r="I33" s="6" t="s">
        <v>144</v>
      </c>
    </row>
    <row r="34" spans="1:9" ht="22.5" customHeight="1" x14ac:dyDescent="0.25">
      <c r="A34" s="4">
        <v>33</v>
      </c>
      <c r="B34" s="5" t="s">
        <v>277</v>
      </c>
      <c r="C34" s="6" t="s">
        <v>39</v>
      </c>
      <c r="D34" s="6" t="s">
        <v>278</v>
      </c>
      <c r="E34" s="6" t="s">
        <v>87</v>
      </c>
      <c r="F34" s="6" t="s">
        <v>142</v>
      </c>
      <c r="G34" s="6" t="s">
        <v>265</v>
      </c>
      <c r="H34" s="6" t="s">
        <v>279</v>
      </c>
      <c r="I34" s="6" t="s">
        <v>280</v>
      </c>
    </row>
    <row r="35" spans="1:9" ht="22.5" customHeight="1" x14ac:dyDescent="0.25">
      <c r="A35" s="4">
        <v>34</v>
      </c>
      <c r="B35" s="5" t="s">
        <v>281</v>
      </c>
      <c r="C35" s="6" t="s">
        <v>192</v>
      </c>
      <c r="D35" s="6" t="s">
        <v>283</v>
      </c>
      <c r="E35" s="6" t="s">
        <v>142</v>
      </c>
      <c r="F35" s="6" t="s">
        <v>265</v>
      </c>
      <c r="G35" s="6" t="s">
        <v>284</v>
      </c>
      <c r="H35" s="6" t="s">
        <v>110</v>
      </c>
      <c r="I35" s="6" t="s">
        <v>144</v>
      </c>
    </row>
    <row r="36" spans="1:9" ht="22.5" customHeight="1" x14ac:dyDescent="0.25">
      <c r="A36" s="4">
        <v>35</v>
      </c>
      <c r="B36" s="5" t="s">
        <v>254</v>
      </c>
      <c r="C36" s="6" t="s">
        <v>64</v>
      </c>
      <c r="D36" s="6" t="s">
        <v>285</v>
      </c>
      <c r="E36" s="6" t="s">
        <v>184</v>
      </c>
      <c r="F36" s="6" t="s">
        <v>142</v>
      </c>
      <c r="G36" s="6" t="s">
        <v>265</v>
      </c>
      <c r="H36" s="6" t="s">
        <v>106</v>
      </c>
      <c r="I36" s="6" t="s">
        <v>287</v>
      </c>
    </row>
    <row r="37" spans="1:9" ht="22.5" customHeight="1" x14ac:dyDescent="0.25">
      <c r="A37" s="4">
        <v>36</v>
      </c>
      <c r="B37" s="5" t="s">
        <v>288</v>
      </c>
      <c r="C37" s="6" t="s">
        <v>144</v>
      </c>
      <c r="D37" s="6" t="s">
        <v>142</v>
      </c>
      <c r="E37" s="6" t="s">
        <v>224</v>
      </c>
      <c r="F37" s="6" t="s">
        <v>258</v>
      </c>
      <c r="G37" s="6" t="s">
        <v>290</v>
      </c>
      <c r="H37" s="6" t="s">
        <v>291</v>
      </c>
      <c r="I37" s="6" t="s">
        <v>292</v>
      </c>
    </row>
    <row r="38" spans="1:9" ht="22.5" customHeight="1" x14ac:dyDescent="0.25">
      <c r="A38" s="4">
        <v>37</v>
      </c>
      <c r="B38" s="5" t="s">
        <v>293</v>
      </c>
      <c r="C38" s="6" t="s">
        <v>294</v>
      </c>
      <c r="D38" s="6" t="s">
        <v>180</v>
      </c>
      <c r="E38" s="6" t="s">
        <v>285</v>
      </c>
      <c r="F38" s="6" t="s">
        <v>31</v>
      </c>
      <c r="G38" s="6" t="s">
        <v>276</v>
      </c>
      <c r="H38" s="6" t="s">
        <v>259</v>
      </c>
      <c r="I38" s="6" t="s">
        <v>296</v>
      </c>
    </row>
    <row r="39" spans="1:9" ht="22.5" customHeight="1" x14ac:dyDescent="0.25">
      <c r="A39" s="4">
        <v>38</v>
      </c>
      <c r="B39" s="5" t="s">
        <v>298</v>
      </c>
      <c r="C39" s="6" t="s">
        <v>300</v>
      </c>
      <c r="D39" s="6" t="s">
        <v>39</v>
      </c>
      <c r="E39" s="6" t="s">
        <v>301</v>
      </c>
      <c r="F39" s="6" t="s">
        <v>285</v>
      </c>
      <c r="G39" s="6" t="s">
        <v>302</v>
      </c>
      <c r="H39" s="6" t="s">
        <v>31</v>
      </c>
      <c r="I39" s="6" t="s">
        <v>303</v>
      </c>
    </row>
    <row r="40" spans="1:9" ht="22.5" customHeight="1" x14ac:dyDescent="0.25">
      <c r="A40" s="4">
        <v>39</v>
      </c>
      <c r="B40" s="5" t="s">
        <v>306</v>
      </c>
      <c r="C40" s="6" t="s">
        <v>57</v>
      </c>
      <c r="D40" s="6" t="s">
        <v>285</v>
      </c>
      <c r="E40" s="6" t="s">
        <v>171</v>
      </c>
      <c r="F40" s="6" t="s">
        <v>31</v>
      </c>
      <c r="G40" s="6" t="s">
        <v>307</v>
      </c>
      <c r="H40" s="6" t="s">
        <v>259</v>
      </c>
      <c r="I40" s="6" t="s">
        <v>309</v>
      </c>
    </row>
    <row r="41" spans="1:9" ht="22.5" customHeight="1" x14ac:dyDescent="0.25">
      <c r="A41" s="4">
        <v>40</v>
      </c>
      <c r="B41" s="5" t="s">
        <v>311</v>
      </c>
      <c r="C41" s="6" t="s">
        <v>216</v>
      </c>
      <c r="D41" s="6" t="s">
        <v>285</v>
      </c>
      <c r="E41" s="6" t="s">
        <v>312</v>
      </c>
      <c r="F41" s="6" t="s">
        <v>31</v>
      </c>
      <c r="G41" s="6" t="s">
        <v>313</v>
      </c>
      <c r="H41" s="6" t="s">
        <v>280</v>
      </c>
      <c r="I41" s="6" t="s">
        <v>259</v>
      </c>
    </row>
    <row r="42" spans="1:9" ht="22.5" customHeight="1" x14ac:dyDescent="0.25">
      <c r="A42" s="4">
        <v>41</v>
      </c>
      <c r="B42" s="5" t="s">
        <v>314</v>
      </c>
      <c r="C42" s="6" t="s">
        <v>315</v>
      </c>
      <c r="D42" s="6" t="s">
        <v>285</v>
      </c>
      <c r="E42" s="6" t="s">
        <v>31</v>
      </c>
      <c r="F42" s="6" t="s">
        <v>197</v>
      </c>
      <c r="G42" s="6" t="s">
        <v>259</v>
      </c>
      <c r="H42" s="6" t="s">
        <v>316</v>
      </c>
      <c r="I42" s="6" t="s">
        <v>317</v>
      </c>
    </row>
    <row r="43" spans="1:9" ht="22.5" customHeight="1" x14ac:dyDescent="0.25">
      <c r="A43" s="4">
        <v>42</v>
      </c>
      <c r="B43" s="5" t="s">
        <v>318</v>
      </c>
      <c r="C43" s="6" t="s">
        <v>285</v>
      </c>
      <c r="D43" s="6" t="s">
        <v>31</v>
      </c>
      <c r="E43" s="6" t="s">
        <v>259</v>
      </c>
      <c r="F43" s="6" t="s">
        <v>320</v>
      </c>
      <c r="G43" s="6" t="s">
        <v>321</v>
      </c>
      <c r="H43" s="6" t="s">
        <v>273</v>
      </c>
      <c r="I43" s="6" t="s">
        <v>323</v>
      </c>
    </row>
    <row r="44" spans="1:9" ht="22.5" customHeight="1" x14ac:dyDescent="0.25">
      <c r="A44" s="4">
        <v>43</v>
      </c>
      <c r="B44" s="5" t="s">
        <v>325</v>
      </c>
      <c r="C44" s="6" t="s">
        <v>326</v>
      </c>
      <c r="D44" s="6" t="s">
        <v>327</v>
      </c>
      <c r="E44" s="6" t="s">
        <v>285</v>
      </c>
      <c r="F44" s="6" t="s">
        <v>31</v>
      </c>
      <c r="G44" s="6" t="s">
        <v>259</v>
      </c>
      <c r="H44" s="6" t="s">
        <v>329</v>
      </c>
      <c r="I44" s="6" t="s">
        <v>276</v>
      </c>
    </row>
    <row r="45" spans="1:9" ht="22.5" customHeight="1" x14ac:dyDescent="0.25">
      <c r="A45" s="4">
        <v>44</v>
      </c>
      <c r="B45" s="5" t="s">
        <v>333</v>
      </c>
      <c r="C45" s="6" t="s">
        <v>180</v>
      </c>
      <c r="D45" s="6" t="s">
        <v>285</v>
      </c>
      <c r="E45" s="6" t="s">
        <v>31</v>
      </c>
      <c r="F45" s="6" t="s">
        <v>334</v>
      </c>
      <c r="G45" s="6" t="s">
        <v>259</v>
      </c>
      <c r="H45" s="6" t="s">
        <v>320</v>
      </c>
      <c r="I45" s="6" t="s">
        <v>276</v>
      </c>
    </row>
    <row r="46" spans="1:9" ht="22.5" customHeight="1" x14ac:dyDescent="0.25">
      <c r="A46" s="4">
        <v>45</v>
      </c>
      <c r="B46" s="5" t="s">
        <v>336</v>
      </c>
      <c r="C46" s="6" t="s">
        <v>74</v>
      </c>
      <c r="D46" s="6" t="s">
        <v>337</v>
      </c>
      <c r="E46" s="6" t="s">
        <v>285</v>
      </c>
      <c r="F46" s="6" t="s">
        <v>31</v>
      </c>
      <c r="G46" s="6" t="s">
        <v>338</v>
      </c>
      <c r="H46" s="6" t="s">
        <v>259</v>
      </c>
      <c r="I46" s="6" t="s">
        <v>339</v>
      </c>
    </row>
    <row r="47" spans="1:9" ht="22.5" customHeight="1" x14ac:dyDescent="0.25">
      <c r="A47" s="4">
        <v>46</v>
      </c>
      <c r="B47" s="5" t="s">
        <v>295</v>
      </c>
      <c r="C47" s="6" t="s">
        <v>340</v>
      </c>
      <c r="D47" s="6" t="s">
        <v>341</v>
      </c>
      <c r="E47" s="6" t="s">
        <v>342</v>
      </c>
      <c r="F47" s="6" t="s">
        <v>247</v>
      </c>
      <c r="G47" s="6" t="s">
        <v>265</v>
      </c>
      <c r="H47" s="6" t="s">
        <v>343</v>
      </c>
      <c r="I47" s="6" t="s">
        <v>126</v>
      </c>
    </row>
    <row r="48" spans="1:9" ht="22.5" customHeight="1" x14ac:dyDescent="0.25">
      <c r="A48" s="4">
        <v>47</v>
      </c>
      <c r="B48" s="5" t="s">
        <v>344</v>
      </c>
      <c r="C48" s="6" t="s">
        <v>345</v>
      </c>
      <c r="D48" s="6" t="s">
        <v>341</v>
      </c>
      <c r="E48" s="6" t="s">
        <v>247</v>
      </c>
      <c r="F48" s="6" t="s">
        <v>265</v>
      </c>
      <c r="G48" s="6" t="s">
        <v>347</v>
      </c>
      <c r="H48" s="6" t="s">
        <v>197</v>
      </c>
      <c r="I48" s="6" t="s">
        <v>348</v>
      </c>
    </row>
    <row r="49" spans="1:9" ht="22.5" customHeight="1" x14ac:dyDescent="0.25">
      <c r="A49" s="4">
        <v>48</v>
      </c>
      <c r="B49" s="5" t="s">
        <v>349</v>
      </c>
      <c r="C49" s="6" t="s">
        <v>350</v>
      </c>
      <c r="D49" s="6" t="s">
        <v>341</v>
      </c>
      <c r="E49" s="6" t="s">
        <v>265</v>
      </c>
      <c r="F49" s="6" t="s">
        <v>351</v>
      </c>
      <c r="G49" s="6" t="s">
        <v>352</v>
      </c>
      <c r="H49" s="6" t="s">
        <v>353</v>
      </c>
      <c r="I49" s="6" t="s">
        <v>126</v>
      </c>
    </row>
    <row r="50" spans="1:9" ht="22.5" customHeight="1" x14ac:dyDescent="0.25">
      <c r="A50" s="4">
        <v>49</v>
      </c>
      <c r="B50" s="5" t="s">
        <v>355</v>
      </c>
      <c r="C50" s="6" t="s">
        <v>245</v>
      </c>
      <c r="D50" s="6" t="s">
        <v>341</v>
      </c>
      <c r="E50" s="6" t="s">
        <v>265</v>
      </c>
      <c r="F50" s="6" t="s">
        <v>356</v>
      </c>
      <c r="G50" s="6" t="s">
        <v>357</v>
      </c>
      <c r="H50" s="6" t="s">
        <v>248</v>
      </c>
      <c r="I50" s="6" t="s">
        <v>246</v>
      </c>
    </row>
    <row r="51" spans="1:9" ht="22.5" customHeight="1" x14ac:dyDescent="0.25">
      <c r="A51" s="4">
        <v>50</v>
      </c>
      <c r="B51" s="5" t="s">
        <v>359</v>
      </c>
      <c r="C51" s="6" t="s">
        <v>360</v>
      </c>
      <c r="D51" s="6" t="s">
        <v>361</v>
      </c>
      <c r="E51" s="6" t="s">
        <v>341</v>
      </c>
      <c r="F51" s="6" t="s">
        <v>362</v>
      </c>
      <c r="G51" s="6" t="s">
        <v>363</v>
      </c>
      <c r="H51" s="6" t="s">
        <v>64</v>
      </c>
      <c r="I51" s="6" t="s">
        <v>247</v>
      </c>
    </row>
    <row r="52" spans="1:9" ht="22.5" customHeight="1" x14ac:dyDescent="0.25">
      <c r="A52" s="4">
        <v>51</v>
      </c>
      <c r="B52" s="5" t="s">
        <v>364</v>
      </c>
      <c r="C52" s="6" t="s">
        <v>365</v>
      </c>
      <c r="D52" s="6" t="s">
        <v>341</v>
      </c>
      <c r="E52" s="6" t="s">
        <v>197</v>
      </c>
      <c r="F52" s="6" t="s">
        <v>366</v>
      </c>
      <c r="G52" s="6" t="s">
        <v>367</v>
      </c>
      <c r="H52" s="6" t="s">
        <v>368</v>
      </c>
      <c r="I52" s="6" t="s">
        <v>369</v>
      </c>
    </row>
    <row r="53" spans="1:9" ht="22.5" customHeight="1" x14ac:dyDescent="0.25">
      <c r="A53" s="4">
        <v>52</v>
      </c>
      <c r="B53" s="5" t="s">
        <v>370</v>
      </c>
      <c r="C53" s="6" t="s">
        <v>366</v>
      </c>
      <c r="D53" s="6" t="s">
        <v>341</v>
      </c>
      <c r="E53" s="6" t="s">
        <v>247</v>
      </c>
      <c r="F53" s="6" t="s">
        <v>140</v>
      </c>
      <c r="G53" s="6" t="s">
        <v>280</v>
      </c>
      <c r="H53" s="6" t="s">
        <v>372</v>
      </c>
      <c r="I53" s="6" t="s">
        <v>276</v>
      </c>
    </row>
    <row r="54" spans="1:9" ht="22.5" customHeight="1" x14ac:dyDescent="0.25">
      <c r="A54" s="4">
        <v>53</v>
      </c>
      <c r="B54" s="5" t="s">
        <v>210</v>
      </c>
      <c r="C54" s="6" t="s">
        <v>216</v>
      </c>
      <c r="D54" s="6" t="s">
        <v>313</v>
      </c>
      <c r="E54" s="6" t="s">
        <v>67</v>
      </c>
      <c r="F54" s="6" t="s">
        <v>374</v>
      </c>
      <c r="G54" s="6" t="s">
        <v>376</v>
      </c>
      <c r="H54" s="6" t="s">
        <v>213</v>
      </c>
      <c r="I54" s="6" t="s">
        <v>229</v>
      </c>
    </row>
    <row r="55" spans="1:9" ht="22.5" customHeight="1" x14ac:dyDescent="0.25">
      <c r="A55" s="4">
        <v>54</v>
      </c>
      <c r="B55" s="5" t="s">
        <v>346</v>
      </c>
      <c r="C55" s="6" t="s">
        <v>377</v>
      </c>
      <c r="D55" s="6" t="s">
        <v>376</v>
      </c>
      <c r="E55" s="6" t="s">
        <v>67</v>
      </c>
      <c r="F55" s="6" t="s">
        <v>183</v>
      </c>
      <c r="G55" s="6" t="s">
        <v>378</v>
      </c>
      <c r="H55" s="6" t="s">
        <v>380</v>
      </c>
      <c r="I55" s="6" t="s">
        <v>213</v>
      </c>
    </row>
    <row r="56" spans="1:9" ht="22.5" customHeight="1" x14ac:dyDescent="0.25">
      <c r="A56" s="4">
        <v>55</v>
      </c>
      <c r="B56" s="5" t="s">
        <v>371</v>
      </c>
      <c r="C56" s="6" t="s">
        <v>383</v>
      </c>
      <c r="D56" s="6" t="s">
        <v>384</v>
      </c>
      <c r="E56" s="6" t="s">
        <v>67</v>
      </c>
      <c r="F56" s="6" t="s">
        <v>385</v>
      </c>
      <c r="G56" s="6" t="s">
        <v>213</v>
      </c>
      <c r="H56" s="6" t="s">
        <v>386</v>
      </c>
      <c r="I56" s="6" t="s">
        <v>387</v>
      </c>
    </row>
    <row r="57" spans="1:9" ht="22.5" customHeight="1" x14ac:dyDescent="0.25">
      <c r="A57" s="4">
        <v>56</v>
      </c>
      <c r="B57" s="5" t="s">
        <v>388</v>
      </c>
      <c r="C57" s="6" t="s">
        <v>389</v>
      </c>
      <c r="D57" s="6" t="s">
        <v>390</v>
      </c>
      <c r="E57" s="6" t="s">
        <v>67</v>
      </c>
      <c r="F57" s="6" t="s">
        <v>213</v>
      </c>
      <c r="G57" s="6" t="s">
        <v>376</v>
      </c>
      <c r="H57" s="6" t="s">
        <v>140</v>
      </c>
      <c r="I57" s="6" t="s">
        <v>391</v>
      </c>
    </row>
    <row r="58" spans="1:9" ht="22.5" customHeight="1" x14ac:dyDescent="0.25">
      <c r="A58" s="4">
        <v>57</v>
      </c>
      <c r="B58" s="5" t="s">
        <v>390</v>
      </c>
      <c r="C58" s="6" t="s">
        <v>388</v>
      </c>
      <c r="D58" s="6" t="s">
        <v>394</v>
      </c>
      <c r="E58" s="6" t="s">
        <v>67</v>
      </c>
      <c r="F58" s="6" t="s">
        <v>213</v>
      </c>
      <c r="G58" s="6" t="s">
        <v>376</v>
      </c>
      <c r="H58" s="6" t="s">
        <v>140</v>
      </c>
      <c r="I58" s="6" t="s">
        <v>206</v>
      </c>
    </row>
    <row r="59" spans="1:9" ht="22.5" customHeight="1" x14ac:dyDescent="0.25">
      <c r="A59" s="4">
        <v>58</v>
      </c>
      <c r="B59" s="5" t="s">
        <v>395</v>
      </c>
      <c r="C59" s="6" t="s">
        <v>396</v>
      </c>
      <c r="D59" s="6" t="s">
        <v>67</v>
      </c>
      <c r="E59" s="6" t="s">
        <v>213</v>
      </c>
      <c r="F59" s="6" t="s">
        <v>397</v>
      </c>
      <c r="G59" s="6" t="s">
        <v>240</v>
      </c>
      <c r="H59" s="6" t="s">
        <v>398</v>
      </c>
      <c r="I59" s="6" t="s">
        <v>197</v>
      </c>
    </row>
    <row r="60" spans="1:9" ht="22.5" customHeight="1" x14ac:dyDescent="0.25">
      <c r="A60" s="4">
        <v>59</v>
      </c>
      <c r="B60" s="5" t="s">
        <v>219</v>
      </c>
      <c r="C60" s="6" t="s">
        <v>67</v>
      </c>
      <c r="D60" s="6" t="s">
        <v>400</v>
      </c>
      <c r="E60" s="6" t="s">
        <v>192</v>
      </c>
      <c r="F60" s="6" t="s">
        <v>76</v>
      </c>
      <c r="G60" s="6" t="s">
        <v>401</v>
      </c>
      <c r="H60" s="6" t="s">
        <v>126</v>
      </c>
      <c r="I60" s="6" t="s">
        <v>240</v>
      </c>
    </row>
    <row r="61" spans="1:9" ht="22.5" customHeight="1" x14ac:dyDescent="0.25">
      <c r="A61" s="4">
        <v>60</v>
      </c>
      <c r="B61" s="5" t="s">
        <v>319</v>
      </c>
      <c r="C61" s="6" t="s">
        <v>402</v>
      </c>
      <c r="D61" s="6" t="s">
        <v>403</v>
      </c>
      <c r="E61" s="6" t="s">
        <v>404</v>
      </c>
      <c r="F61" s="6" t="s">
        <v>406</v>
      </c>
      <c r="G61" s="6" t="s">
        <v>407</v>
      </c>
      <c r="H61" s="6" t="s">
        <v>408</v>
      </c>
      <c r="I61" s="6" t="s">
        <v>192</v>
      </c>
    </row>
    <row r="62" spans="1:9" ht="22.5" customHeight="1" x14ac:dyDescent="0.25">
      <c r="A62" s="4">
        <v>61</v>
      </c>
      <c r="B62" s="5" t="s">
        <v>407</v>
      </c>
      <c r="C62" s="6" t="s">
        <v>411</v>
      </c>
      <c r="D62" s="6" t="s">
        <v>412</v>
      </c>
      <c r="E62" s="6" t="s">
        <v>224</v>
      </c>
      <c r="F62" s="6" t="s">
        <v>404</v>
      </c>
      <c r="G62" s="6" t="s">
        <v>413</v>
      </c>
      <c r="H62" s="6" t="s">
        <v>175</v>
      </c>
      <c r="I62" s="6" t="s">
        <v>192</v>
      </c>
    </row>
    <row r="63" spans="1:9" ht="22.5" customHeight="1" x14ac:dyDescent="0.25">
      <c r="A63" s="4">
        <v>62</v>
      </c>
      <c r="B63" s="5" t="s">
        <v>379</v>
      </c>
      <c r="C63" s="6" t="s">
        <v>416</v>
      </c>
      <c r="D63" s="6" t="s">
        <v>74</v>
      </c>
      <c r="E63" s="6" t="s">
        <v>417</v>
      </c>
      <c r="F63" s="6" t="s">
        <v>418</v>
      </c>
      <c r="G63" s="6" t="s">
        <v>419</v>
      </c>
      <c r="H63" s="6" t="s">
        <v>420</v>
      </c>
      <c r="I63" s="6" t="s">
        <v>404</v>
      </c>
    </row>
    <row r="64" spans="1:9" ht="22.5" customHeight="1" x14ac:dyDescent="0.25">
      <c r="A64" s="4">
        <v>63</v>
      </c>
      <c r="B64" s="5" t="s">
        <v>421</v>
      </c>
      <c r="C64" s="6" t="s">
        <v>422</v>
      </c>
      <c r="D64" s="6" t="s">
        <v>424</v>
      </c>
      <c r="E64" s="6" t="s">
        <v>50</v>
      </c>
      <c r="F64" s="6" t="s">
        <v>419</v>
      </c>
      <c r="G64" s="6" t="s">
        <v>425</v>
      </c>
      <c r="H64" s="6" t="s">
        <v>426</v>
      </c>
      <c r="I64" s="6" t="s">
        <v>427</v>
      </c>
    </row>
    <row r="65" spans="1:9" ht="22.5" customHeight="1" x14ac:dyDescent="0.25">
      <c r="A65" s="4">
        <v>64</v>
      </c>
      <c r="B65" s="5" t="s">
        <v>428</v>
      </c>
      <c r="C65" s="6" t="s">
        <v>280</v>
      </c>
      <c r="D65" s="6" t="s">
        <v>426</v>
      </c>
      <c r="E65" s="6" t="s">
        <v>427</v>
      </c>
      <c r="F65" s="6" t="s">
        <v>419</v>
      </c>
      <c r="G65" s="6" t="s">
        <v>188</v>
      </c>
      <c r="H65" s="6" t="s">
        <v>429</v>
      </c>
      <c r="I65" s="6" t="s">
        <v>430</v>
      </c>
    </row>
    <row r="66" spans="1:9" ht="22.5" customHeight="1" x14ac:dyDescent="0.25">
      <c r="A66" s="4">
        <v>65</v>
      </c>
      <c r="B66" s="5" t="s">
        <v>431</v>
      </c>
      <c r="C66" s="6" t="s">
        <v>432</v>
      </c>
      <c r="D66" s="6" t="s">
        <v>426</v>
      </c>
      <c r="E66" s="6" t="s">
        <v>427</v>
      </c>
      <c r="F66" s="6" t="s">
        <v>419</v>
      </c>
      <c r="G66" s="6" t="s">
        <v>188</v>
      </c>
      <c r="H66" s="6" t="s">
        <v>160</v>
      </c>
      <c r="I66" s="6" t="s">
        <v>428</v>
      </c>
    </row>
    <row r="67" spans="1:9" ht="22.5" customHeight="1" x14ac:dyDescent="0.25">
      <c r="A67" s="4">
        <v>66</v>
      </c>
      <c r="B67" s="5" t="s">
        <v>434</v>
      </c>
      <c r="C67" s="6" t="s">
        <v>376</v>
      </c>
      <c r="D67" s="6" t="s">
        <v>404</v>
      </c>
      <c r="E67" s="6" t="s">
        <v>118</v>
      </c>
      <c r="F67" s="6" t="s">
        <v>435</v>
      </c>
      <c r="G67" s="6" t="s">
        <v>436</v>
      </c>
      <c r="H67" s="6" t="s">
        <v>437</v>
      </c>
      <c r="I67" s="6" t="s">
        <v>67</v>
      </c>
    </row>
    <row r="68" spans="1:9" ht="22.5" customHeight="1" x14ac:dyDescent="0.25">
      <c r="A68" s="4">
        <v>67</v>
      </c>
      <c r="B68" s="5" t="s">
        <v>438</v>
      </c>
      <c r="C68" s="6" t="s">
        <v>439</v>
      </c>
      <c r="D68" s="6" t="s">
        <v>440</v>
      </c>
      <c r="E68" s="6" t="s">
        <v>441</v>
      </c>
      <c r="F68" s="6" t="s">
        <v>404</v>
      </c>
      <c r="G68" s="6" t="s">
        <v>443</v>
      </c>
      <c r="H68" s="6" t="s">
        <v>444</v>
      </c>
      <c r="I68" s="6" t="s">
        <v>445</v>
      </c>
    </row>
    <row r="69" spans="1:9" ht="22.5" customHeight="1" x14ac:dyDescent="0.25">
      <c r="A69" s="4">
        <v>68</v>
      </c>
      <c r="B69" s="5" t="s">
        <v>446</v>
      </c>
      <c r="C69" s="6" t="s">
        <v>101</v>
      </c>
      <c r="D69" s="6" t="s">
        <v>447</v>
      </c>
      <c r="E69" s="6" t="s">
        <v>404</v>
      </c>
      <c r="F69" s="6" t="s">
        <v>448</v>
      </c>
      <c r="G69" s="6" t="s">
        <v>449</v>
      </c>
      <c r="H69" s="6" t="s">
        <v>31</v>
      </c>
      <c r="I69" s="6" t="s">
        <v>450</v>
      </c>
    </row>
    <row r="70" spans="1:9" ht="22.5" customHeight="1" x14ac:dyDescent="0.25">
      <c r="A70" s="4">
        <v>69</v>
      </c>
      <c r="B70" s="5" t="s">
        <v>451</v>
      </c>
      <c r="C70" s="6" t="s">
        <v>452</v>
      </c>
      <c r="D70" s="6" t="s">
        <v>248</v>
      </c>
      <c r="E70" s="6" t="s">
        <v>404</v>
      </c>
      <c r="F70" s="6" t="s">
        <v>454</v>
      </c>
      <c r="G70" s="6" t="s">
        <v>455</v>
      </c>
      <c r="H70" s="6" t="s">
        <v>206</v>
      </c>
      <c r="I70" s="6" t="s">
        <v>456</v>
      </c>
    </row>
    <row r="71" spans="1:9" ht="22.5" customHeight="1" x14ac:dyDescent="0.25">
      <c r="A71" s="4">
        <v>70</v>
      </c>
      <c r="B71" s="5" t="s">
        <v>458</v>
      </c>
      <c r="C71" s="6" t="s">
        <v>459</v>
      </c>
      <c r="D71" s="6" t="s">
        <v>460</v>
      </c>
      <c r="E71" s="6" t="s">
        <v>404</v>
      </c>
      <c r="F71" s="6" t="s">
        <v>461</v>
      </c>
      <c r="G71" s="6" t="s">
        <v>462</v>
      </c>
      <c r="H71" s="6" t="s">
        <v>463</v>
      </c>
      <c r="I71" s="6" t="s">
        <v>292</v>
      </c>
    </row>
    <row r="72" spans="1:9" ht="22.5" customHeight="1" x14ac:dyDescent="0.25">
      <c r="A72" s="4">
        <v>71</v>
      </c>
      <c r="B72" s="5" t="s">
        <v>465</v>
      </c>
      <c r="C72" s="6" t="s">
        <v>466</v>
      </c>
      <c r="D72" s="6" t="s">
        <v>467</v>
      </c>
      <c r="E72" s="6" t="s">
        <v>468</v>
      </c>
      <c r="F72" s="6" t="s">
        <v>387</v>
      </c>
      <c r="G72" s="6" t="s">
        <v>469</v>
      </c>
      <c r="H72" s="6" t="s">
        <v>404</v>
      </c>
      <c r="I72" s="6" t="s">
        <v>470</v>
      </c>
    </row>
    <row r="73" spans="1:9" ht="22.5" customHeight="1" x14ac:dyDescent="0.25">
      <c r="A73" s="4">
        <v>72</v>
      </c>
      <c r="B73" s="5" t="s">
        <v>471</v>
      </c>
      <c r="C73" s="6" t="s">
        <v>472</v>
      </c>
      <c r="D73" s="6" t="s">
        <v>473</v>
      </c>
      <c r="E73" s="6" t="s">
        <v>126</v>
      </c>
      <c r="F73" s="6" t="s">
        <v>474</v>
      </c>
      <c r="G73" s="6" t="s">
        <v>475</v>
      </c>
      <c r="H73" s="6" t="s">
        <v>404</v>
      </c>
      <c r="I73" s="6" t="s">
        <v>477</v>
      </c>
    </row>
    <row r="74" spans="1:9" ht="22.5" customHeight="1" x14ac:dyDescent="0.25">
      <c r="A74" s="4">
        <v>73</v>
      </c>
      <c r="B74" s="5" t="s">
        <v>479</v>
      </c>
      <c r="C74" s="6" t="s">
        <v>179</v>
      </c>
      <c r="D74" s="6" t="s">
        <v>480</v>
      </c>
      <c r="E74" s="6" t="s">
        <v>482</v>
      </c>
      <c r="F74" s="6" t="s">
        <v>404</v>
      </c>
      <c r="G74" s="6" t="s">
        <v>483</v>
      </c>
      <c r="H74" s="6" t="s">
        <v>484</v>
      </c>
      <c r="I74" s="6" t="s">
        <v>39</v>
      </c>
    </row>
    <row r="75" spans="1:9" ht="22.5" customHeight="1" x14ac:dyDescent="0.25">
      <c r="A75" s="4">
        <v>74</v>
      </c>
      <c r="B75" s="5" t="s">
        <v>485</v>
      </c>
      <c r="C75" s="6" t="s">
        <v>486</v>
      </c>
      <c r="D75" s="6" t="s">
        <v>487</v>
      </c>
      <c r="E75" s="6" t="s">
        <v>488</v>
      </c>
      <c r="F75" s="6" t="s">
        <v>489</v>
      </c>
      <c r="G75" s="6" t="s">
        <v>118</v>
      </c>
      <c r="H75" s="6" t="s">
        <v>150</v>
      </c>
      <c r="I75" s="6" t="s">
        <v>273</v>
      </c>
    </row>
    <row r="76" spans="1:9" ht="22.5" customHeight="1" x14ac:dyDescent="0.25">
      <c r="A76" s="4">
        <v>75</v>
      </c>
      <c r="B76" s="5" t="s">
        <v>492</v>
      </c>
      <c r="C76" s="6" t="s">
        <v>493</v>
      </c>
      <c r="D76" s="6" t="s">
        <v>494</v>
      </c>
      <c r="E76" s="6" t="s">
        <v>495</v>
      </c>
      <c r="F76" s="6" t="s">
        <v>496</v>
      </c>
      <c r="G76" s="6" t="s">
        <v>118</v>
      </c>
      <c r="H76" s="6" t="s">
        <v>83</v>
      </c>
      <c r="I76" s="6" t="s">
        <v>497</v>
      </c>
    </row>
    <row r="77" spans="1:9" ht="22.5" customHeight="1" x14ac:dyDescent="0.25">
      <c r="A77" s="4">
        <v>76</v>
      </c>
      <c r="B77" s="5" t="s">
        <v>499</v>
      </c>
      <c r="C77" s="6" t="s">
        <v>500</v>
      </c>
      <c r="D77" s="6" t="s">
        <v>494</v>
      </c>
      <c r="E77" s="6" t="s">
        <v>118</v>
      </c>
      <c r="F77" s="6" t="s">
        <v>503</v>
      </c>
      <c r="G77" s="6" t="s">
        <v>504</v>
      </c>
      <c r="H77" s="6" t="s">
        <v>505</v>
      </c>
      <c r="I77" s="6" t="s">
        <v>506</v>
      </c>
    </row>
    <row r="78" spans="1:9" ht="22.5" customHeight="1" x14ac:dyDescent="0.25">
      <c r="A78" s="4">
        <v>77</v>
      </c>
      <c r="B78" s="5" t="s">
        <v>507</v>
      </c>
      <c r="C78" s="6" t="s">
        <v>508</v>
      </c>
      <c r="D78" s="6" t="s">
        <v>494</v>
      </c>
      <c r="E78" s="6" t="s">
        <v>118</v>
      </c>
      <c r="F78" s="6" t="s">
        <v>510</v>
      </c>
      <c r="G78" s="6" t="s">
        <v>511</v>
      </c>
      <c r="H78" s="6" t="s">
        <v>513</v>
      </c>
      <c r="I78" s="6" t="s">
        <v>514</v>
      </c>
    </row>
    <row r="79" spans="1:9" ht="22.5" customHeight="1" x14ac:dyDescent="0.25">
      <c r="A79" s="4">
        <v>78</v>
      </c>
      <c r="B79" s="5" t="s">
        <v>515</v>
      </c>
      <c r="C79" s="6" t="s">
        <v>516</v>
      </c>
      <c r="D79" s="6" t="s">
        <v>494</v>
      </c>
      <c r="E79" s="6" t="s">
        <v>118</v>
      </c>
      <c r="F79" s="6" t="s">
        <v>517</v>
      </c>
      <c r="G79" s="6" t="s">
        <v>519</v>
      </c>
      <c r="H79" s="6" t="s">
        <v>520</v>
      </c>
      <c r="I79" s="6" t="s">
        <v>178</v>
      </c>
    </row>
    <row r="80" spans="1:9" ht="22.5" customHeight="1" x14ac:dyDescent="0.25">
      <c r="A80" s="4">
        <v>79</v>
      </c>
      <c r="B80" s="5" t="s">
        <v>167</v>
      </c>
      <c r="C80" s="6" t="s">
        <v>521</v>
      </c>
      <c r="D80" s="6" t="s">
        <v>494</v>
      </c>
      <c r="E80" s="6" t="s">
        <v>118</v>
      </c>
      <c r="F80" s="6" t="s">
        <v>207</v>
      </c>
      <c r="G80" s="6" t="s">
        <v>144</v>
      </c>
      <c r="H80" s="6" t="s">
        <v>522</v>
      </c>
      <c r="I80" s="6" t="s">
        <v>523</v>
      </c>
    </row>
    <row r="81" spans="1:9" ht="22.5" customHeight="1" x14ac:dyDescent="0.25">
      <c r="A81" s="4">
        <v>80</v>
      </c>
      <c r="B81" s="5" t="s">
        <v>524</v>
      </c>
      <c r="C81" s="6" t="s">
        <v>118</v>
      </c>
      <c r="D81" s="6" t="s">
        <v>525</v>
      </c>
      <c r="E81" s="6" t="s">
        <v>526</v>
      </c>
      <c r="F81" s="6" t="s">
        <v>207</v>
      </c>
      <c r="G81" s="6" t="s">
        <v>197</v>
      </c>
      <c r="H81" s="6" t="s">
        <v>167</v>
      </c>
      <c r="I81" s="6" t="s">
        <v>528</v>
      </c>
    </row>
    <row r="82" spans="1:9" ht="22.5" customHeight="1" x14ac:dyDescent="0.25">
      <c r="A82" s="4">
        <v>81</v>
      </c>
      <c r="B82" s="5" t="s">
        <v>518</v>
      </c>
      <c r="C82" s="6" t="s">
        <v>529</v>
      </c>
      <c r="D82" s="6" t="s">
        <v>530</v>
      </c>
      <c r="E82" s="6" t="s">
        <v>118</v>
      </c>
      <c r="F82" s="6" t="s">
        <v>531</v>
      </c>
      <c r="G82" s="6" t="s">
        <v>525</v>
      </c>
      <c r="H82" s="6" t="s">
        <v>126</v>
      </c>
      <c r="I82" s="6" t="s">
        <v>532</v>
      </c>
    </row>
    <row r="83" spans="1:9" ht="22.5" customHeight="1" x14ac:dyDescent="0.25">
      <c r="A83" s="4">
        <v>82</v>
      </c>
      <c r="B83" s="5" t="s">
        <v>532</v>
      </c>
      <c r="C83" s="6" t="s">
        <v>39</v>
      </c>
      <c r="D83" s="6" t="s">
        <v>160</v>
      </c>
      <c r="E83" s="6" t="s">
        <v>118</v>
      </c>
      <c r="F83" s="6" t="s">
        <v>229</v>
      </c>
      <c r="G83" s="6" t="s">
        <v>533</v>
      </c>
      <c r="H83" s="6" t="s">
        <v>518</v>
      </c>
      <c r="I83" s="6" t="s">
        <v>534</v>
      </c>
    </row>
    <row r="84" spans="1:9" ht="22.5" customHeight="1" x14ac:dyDescent="0.25">
      <c r="A84" s="4">
        <v>83</v>
      </c>
      <c r="B84" s="5" t="s">
        <v>535</v>
      </c>
      <c r="C84" s="6" t="s">
        <v>536</v>
      </c>
      <c r="D84" s="6" t="s">
        <v>537</v>
      </c>
      <c r="E84" s="6" t="s">
        <v>118</v>
      </c>
      <c r="F84" s="6" t="s">
        <v>518</v>
      </c>
      <c r="G84" s="6" t="s">
        <v>197</v>
      </c>
      <c r="H84" s="6" t="s">
        <v>538</v>
      </c>
      <c r="I84" s="6" t="s">
        <v>539</v>
      </c>
    </row>
    <row r="85" spans="1:9" ht="22.5" customHeight="1" x14ac:dyDescent="0.25">
      <c r="A85" s="4">
        <v>84</v>
      </c>
      <c r="B85" s="5" t="s">
        <v>540</v>
      </c>
      <c r="C85" s="6" t="s">
        <v>118</v>
      </c>
      <c r="D85" s="6" t="s">
        <v>525</v>
      </c>
      <c r="E85" s="6" t="s">
        <v>144</v>
      </c>
      <c r="F85" s="6" t="s">
        <v>541</v>
      </c>
      <c r="G85" s="6" t="s">
        <v>292</v>
      </c>
      <c r="H85" s="6" t="s">
        <v>542</v>
      </c>
      <c r="I85" s="6" t="s">
        <v>175</v>
      </c>
    </row>
    <row r="86" spans="1:9" ht="22.5" customHeight="1" x14ac:dyDescent="0.25">
      <c r="A86" s="4">
        <v>85</v>
      </c>
      <c r="B86" s="5" t="s">
        <v>490</v>
      </c>
      <c r="C86" s="6" t="s">
        <v>544</v>
      </c>
      <c r="D86" s="6" t="s">
        <v>118</v>
      </c>
      <c r="E86" s="6" t="s">
        <v>436</v>
      </c>
      <c r="F86" s="6" t="s">
        <v>545</v>
      </c>
      <c r="G86" s="6" t="s">
        <v>546</v>
      </c>
      <c r="H86" s="6" t="s">
        <v>20</v>
      </c>
      <c r="I86" s="6" t="s">
        <v>518</v>
      </c>
    </row>
    <row r="87" spans="1:9" ht="22.5" customHeight="1" x14ac:dyDescent="0.25">
      <c r="A87" s="4">
        <v>86</v>
      </c>
      <c r="B87" s="5" t="s">
        <v>547</v>
      </c>
      <c r="C87" s="6" t="s">
        <v>118</v>
      </c>
      <c r="D87" s="6" t="s">
        <v>549</v>
      </c>
      <c r="E87" s="6" t="s">
        <v>550</v>
      </c>
      <c r="F87" s="6" t="s">
        <v>552</v>
      </c>
      <c r="G87" s="6" t="s">
        <v>160</v>
      </c>
      <c r="H87" s="6" t="s">
        <v>163</v>
      </c>
      <c r="I87" s="6" t="s">
        <v>553</v>
      </c>
    </row>
    <row r="88" spans="1:9" ht="22.5" customHeight="1" x14ac:dyDescent="0.25">
      <c r="A88" s="4">
        <v>87</v>
      </c>
      <c r="B88" s="5" t="s">
        <v>554</v>
      </c>
      <c r="C88" s="6" t="s">
        <v>118</v>
      </c>
      <c r="D88" s="6" t="s">
        <v>39</v>
      </c>
      <c r="E88" s="6" t="s">
        <v>555</v>
      </c>
      <c r="F88" s="6" t="s">
        <v>556</v>
      </c>
      <c r="G88" s="6" t="s">
        <v>557</v>
      </c>
      <c r="H88" s="6" t="s">
        <v>280</v>
      </c>
      <c r="I88" s="6" t="s">
        <v>542</v>
      </c>
    </row>
    <row r="89" spans="1:9" ht="22.5" customHeight="1" x14ac:dyDescent="0.25">
      <c r="A89" s="4">
        <v>88</v>
      </c>
      <c r="B89" s="5" t="s">
        <v>464</v>
      </c>
      <c r="C89" s="6" t="s">
        <v>562</v>
      </c>
      <c r="D89" s="6" t="s">
        <v>118</v>
      </c>
      <c r="E89" s="6" t="s">
        <v>564</v>
      </c>
      <c r="F89" s="6" t="s">
        <v>565</v>
      </c>
      <c r="G89" s="6" t="s">
        <v>566</v>
      </c>
      <c r="H89" s="6" t="s">
        <v>567</v>
      </c>
      <c r="I89" s="6" t="s">
        <v>292</v>
      </c>
    </row>
    <row r="90" spans="1:9" ht="22.5" customHeight="1" x14ac:dyDescent="0.25">
      <c r="A90" s="4">
        <v>89</v>
      </c>
      <c r="B90" s="5" t="s">
        <v>442</v>
      </c>
      <c r="C90" s="6" t="s">
        <v>568</v>
      </c>
      <c r="D90" s="6" t="s">
        <v>569</v>
      </c>
      <c r="E90" s="6" t="s">
        <v>570</v>
      </c>
      <c r="F90" s="6" t="s">
        <v>571</v>
      </c>
      <c r="G90" s="6" t="s">
        <v>225</v>
      </c>
      <c r="H90" s="6" t="s">
        <v>116</v>
      </c>
      <c r="I90" s="6" t="s">
        <v>531</v>
      </c>
    </row>
    <row r="91" spans="1:9" ht="22.5" customHeight="1" x14ac:dyDescent="0.25">
      <c r="A91" s="4">
        <v>90</v>
      </c>
      <c r="B91" s="5" t="s">
        <v>548</v>
      </c>
      <c r="C91" s="6" t="s">
        <v>572</v>
      </c>
      <c r="D91" s="6" t="s">
        <v>573</v>
      </c>
      <c r="E91" s="6" t="s">
        <v>574</v>
      </c>
      <c r="F91" s="6" t="s">
        <v>116</v>
      </c>
      <c r="G91" s="6" t="s">
        <v>575</v>
      </c>
      <c r="H91" s="6" t="s">
        <v>253</v>
      </c>
      <c r="I91" s="6" t="s">
        <v>280</v>
      </c>
    </row>
    <row r="92" spans="1:9" ht="22.5" customHeight="1" x14ac:dyDescent="0.25">
      <c r="A92" s="4">
        <v>91</v>
      </c>
      <c r="B92" s="5" t="s">
        <v>414</v>
      </c>
      <c r="C92" s="6" t="s">
        <v>514</v>
      </c>
      <c r="D92" s="6" t="s">
        <v>576</v>
      </c>
      <c r="E92" s="6" t="s">
        <v>577</v>
      </c>
      <c r="F92" s="6" t="s">
        <v>160</v>
      </c>
      <c r="G92" s="6" t="s">
        <v>578</v>
      </c>
      <c r="H92" s="6" t="s">
        <v>579</v>
      </c>
      <c r="I92" s="6" t="s">
        <v>116</v>
      </c>
    </row>
    <row r="93" spans="1:9" ht="22.5" customHeight="1" x14ac:dyDescent="0.25">
      <c r="A93" s="4">
        <v>92</v>
      </c>
      <c r="B93" s="5" t="s">
        <v>252</v>
      </c>
      <c r="C93" s="6" t="s">
        <v>580</v>
      </c>
      <c r="D93" s="6" t="s">
        <v>482</v>
      </c>
      <c r="E93" s="6" t="s">
        <v>257</v>
      </c>
      <c r="F93" s="6" t="s">
        <v>581</v>
      </c>
      <c r="G93" s="6" t="s">
        <v>116</v>
      </c>
      <c r="H93" s="6" t="s">
        <v>582</v>
      </c>
      <c r="I93" s="6" t="s">
        <v>583</v>
      </c>
    </row>
    <row r="94" spans="1:9" ht="22.5" customHeight="1" x14ac:dyDescent="0.25">
      <c r="A94" s="4">
        <v>93</v>
      </c>
      <c r="B94" s="5" t="s">
        <v>584</v>
      </c>
      <c r="C94" s="6" t="s">
        <v>317</v>
      </c>
      <c r="D94" s="6" t="s">
        <v>582</v>
      </c>
      <c r="E94" s="6" t="s">
        <v>585</v>
      </c>
      <c r="F94" s="6" t="s">
        <v>257</v>
      </c>
      <c r="G94" s="6" t="s">
        <v>556</v>
      </c>
      <c r="H94" s="6" t="s">
        <v>586</v>
      </c>
      <c r="I94" s="6" t="s">
        <v>587</v>
      </c>
    </row>
    <row r="95" spans="1:9" ht="22.5" customHeight="1" x14ac:dyDescent="0.25">
      <c r="A95" s="4">
        <v>94</v>
      </c>
      <c r="B95" s="5" t="s">
        <v>588</v>
      </c>
      <c r="C95" s="6" t="s">
        <v>317</v>
      </c>
      <c r="D95" s="6" t="s">
        <v>582</v>
      </c>
      <c r="E95" s="6" t="s">
        <v>585</v>
      </c>
      <c r="F95" s="6" t="s">
        <v>257</v>
      </c>
      <c r="G95" s="6" t="s">
        <v>556</v>
      </c>
      <c r="H95" s="6" t="s">
        <v>586</v>
      </c>
      <c r="I95" s="6" t="s">
        <v>589</v>
      </c>
    </row>
    <row r="96" spans="1:9" ht="22.5" customHeight="1" x14ac:dyDescent="0.25">
      <c r="A96" s="4">
        <v>95</v>
      </c>
      <c r="B96" s="5" t="s">
        <v>261</v>
      </c>
      <c r="C96" s="6" t="s">
        <v>422</v>
      </c>
      <c r="D96" s="6" t="s">
        <v>549</v>
      </c>
      <c r="E96" s="6" t="s">
        <v>590</v>
      </c>
      <c r="F96" s="6" t="s">
        <v>591</v>
      </c>
      <c r="G96" s="6" t="s">
        <v>116</v>
      </c>
      <c r="H96" s="6" t="s">
        <v>85</v>
      </c>
      <c r="I96" s="6" t="s">
        <v>163</v>
      </c>
    </row>
    <row r="97" spans="1:9" ht="22.5" customHeight="1" x14ac:dyDescent="0.25">
      <c r="A97" s="4">
        <v>96</v>
      </c>
      <c r="B97" s="5" t="s">
        <v>453</v>
      </c>
      <c r="C97" s="6" t="s">
        <v>592</v>
      </c>
      <c r="D97" s="6" t="s">
        <v>593</v>
      </c>
      <c r="E97" s="6" t="s">
        <v>130</v>
      </c>
      <c r="F97" s="6" t="s">
        <v>594</v>
      </c>
      <c r="G97" s="6" t="s">
        <v>595</v>
      </c>
      <c r="H97" s="6" t="s">
        <v>103</v>
      </c>
      <c r="I97" s="6" t="s">
        <v>301</v>
      </c>
    </row>
    <row r="98" spans="1:9" ht="22.5" customHeight="1" x14ac:dyDescent="0.25">
      <c r="A98" s="4">
        <v>97</v>
      </c>
      <c r="B98" s="5" t="s">
        <v>596</v>
      </c>
      <c r="C98" s="6" t="s">
        <v>597</v>
      </c>
      <c r="D98" s="6" t="s">
        <v>570</v>
      </c>
      <c r="E98" s="6" t="s">
        <v>315</v>
      </c>
      <c r="F98" s="6" t="s">
        <v>593</v>
      </c>
      <c r="G98" s="6" t="s">
        <v>380</v>
      </c>
      <c r="H98" s="6" t="s">
        <v>599</v>
      </c>
      <c r="I98" s="6" t="s">
        <v>316</v>
      </c>
    </row>
    <row r="99" spans="1:9" ht="22.5" customHeight="1" x14ac:dyDescent="0.25">
      <c r="A99" s="4">
        <v>98</v>
      </c>
      <c r="B99" s="5" t="s">
        <v>600</v>
      </c>
      <c r="C99" s="6" t="s">
        <v>224</v>
      </c>
      <c r="D99" s="6" t="s">
        <v>570</v>
      </c>
      <c r="E99" s="6" t="s">
        <v>601</v>
      </c>
      <c r="F99" s="6" t="s">
        <v>296</v>
      </c>
      <c r="G99" s="6" t="s">
        <v>602</v>
      </c>
      <c r="H99" s="6" t="s">
        <v>571</v>
      </c>
      <c r="I99" s="6" t="s">
        <v>229</v>
      </c>
    </row>
    <row r="100" spans="1:9" ht="22.5" customHeight="1" x14ac:dyDescent="0.25">
      <c r="A100" s="4">
        <v>99</v>
      </c>
      <c r="B100" s="5" t="s">
        <v>603</v>
      </c>
      <c r="C100" s="6" t="s">
        <v>463</v>
      </c>
      <c r="D100" s="6" t="s">
        <v>301</v>
      </c>
      <c r="E100" s="6" t="s">
        <v>604</v>
      </c>
      <c r="F100" s="6" t="s">
        <v>605</v>
      </c>
      <c r="G100" s="6" t="s">
        <v>606</v>
      </c>
      <c r="H100" s="6" t="s">
        <v>607</v>
      </c>
      <c r="I100" s="6" t="s">
        <v>608</v>
      </c>
    </row>
    <row r="101" spans="1:9" ht="22.5" customHeight="1" x14ac:dyDescent="0.25">
      <c r="A101" s="4">
        <v>100</v>
      </c>
      <c r="B101" s="5" t="s">
        <v>609</v>
      </c>
      <c r="C101" s="6" t="s">
        <v>610</v>
      </c>
      <c r="D101" s="6" t="s">
        <v>301</v>
      </c>
      <c r="E101" s="6" t="s">
        <v>603</v>
      </c>
      <c r="F101" s="6" t="s">
        <v>608</v>
      </c>
      <c r="G101" s="6" t="s">
        <v>411</v>
      </c>
      <c r="H101" s="6" t="s">
        <v>605</v>
      </c>
      <c r="I101" s="6" t="s">
        <v>183</v>
      </c>
    </row>
    <row r="102" spans="1:9" ht="22.5" customHeight="1" x14ac:dyDescent="0.25">
      <c r="A102" s="4">
        <v>101</v>
      </c>
      <c r="B102" s="5" t="s">
        <v>611</v>
      </c>
      <c r="C102" s="6" t="s">
        <v>608</v>
      </c>
      <c r="D102" s="6" t="s">
        <v>301</v>
      </c>
      <c r="E102" s="6" t="s">
        <v>612</v>
      </c>
      <c r="F102" s="6" t="s">
        <v>613</v>
      </c>
      <c r="G102" s="6" t="s">
        <v>197</v>
      </c>
      <c r="H102" s="6" t="s">
        <v>605</v>
      </c>
      <c r="I102" s="6" t="s">
        <v>303</v>
      </c>
    </row>
    <row r="103" spans="1:9" ht="22.5" customHeight="1" x14ac:dyDescent="0.25">
      <c r="A103" s="4">
        <v>102</v>
      </c>
      <c r="B103" s="5" t="s">
        <v>614</v>
      </c>
      <c r="C103" s="6" t="s">
        <v>616</v>
      </c>
      <c r="D103" s="6" t="s">
        <v>570</v>
      </c>
      <c r="E103" s="6" t="s">
        <v>617</v>
      </c>
      <c r="F103" s="6" t="s">
        <v>618</v>
      </c>
      <c r="G103" s="6" t="s">
        <v>571</v>
      </c>
      <c r="H103" s="6" t="s">
        <v>49</v>
      </c>
      <c r="I103" s="6" t="s">
        <v>619</v>
      </c>
    </row>
    <row r="104" spans="1:9" ht="22.5" customHeight="1" x14ac:dyDescent="0.25">
      <c r="A104" s="4">
        <v>103</v>
      </c>
      <c r="B104" s="5" t="s">
        <v>620</v>
      </c>
      <c r="C104" s="6" t="s">
        <v>621</v>
      </c>
      <c r="D104" s="6" t="s">
        <v>570</v>
      </c>
      <c r="E104" s="6" t="s">
        <v>571</v>
      </c>
      <c r="F104" s="6" t="s">
        <v>622</v>
      </c>
      <c r="G104" s="6" t="s">
        <v>197</v>
      </c>
      <c r="H104" s="6" t="s">
        <v>624</v>
      </c>
      <c r="I104" s="6" t="s">
        <v>625</v>
      </c>
    </row>
    <row r="105" spans="1:9" ht="22.5" customHeight="1" x14ac:dyDescent="0.25">
      <c r="A105" s="4">
        <v>104</v>
      </c>
      <c r="B105" s="5" t="s">
        <v>405</v>
      </c>
      <c r="C105" s="6" t="s">
        <v>626</v>
      </c>
      <c r="D105" s="6" t="s">
        <v>627</v>
      </c>
      <c r="E105" s="6" t="s">
        <v>628</v>
      </c>
      <c r="F105" s="6" t="s">
        <v>629</v>
      </c>
      <c r="G105" s="6" t="s">
        <v>630</v>
      </c>
      <c r="H105" s="6" t="s">
        <v>602</v>
      </c>
      <c r="I105" s="6" t="s">
        <v>631</v>
      </c>
    </row>
    <row r="106" spans="1:9" ht="22.5" customHeight="1" x14ac:dyDescent="0.25">
      <c r="A106" s="4">
        <v>105</v>
      </c>
      <c r="B106" s="5" t="s">
        <v>623</v>
      </c>
      <c r="C106" s="6" t="s">
        <v>632</v>
      </c>
      <c r="D106" s="6" t="s">
        <v>627</v>
      </c>
      <c r="E106" s="6" t="s">
        <v>630</v>
      </c>
      <c r="F106" s="6" t="s">
        <v>634</v>
      </c>
      <c r="G106" s="6" t="s">
        <v>635</v>
      </c>
      <c r="H106" s="6" t="s">
        <v>59</v>
      </c>
      <c r="I106" s="6" t="s">
        <v>631</v>
      </c>
    </row>
    <row r="107" spans="1:9" ht="22.5" customHeight="1" x14ac:dyDescent="0.25">
      <c r="A107" s="4">
        <v>106</v>
      </c>
      <c r="B107" s="5" t="s">
        <v>637</v>
      </c>
      <c r="C107" s="6" t="s">
        <v>638</v>
      </c>
      <c r="D107" s="6" t="s">
        <v>627</v>
      </c>
      <c r="E107" s="6" t="s">
        <v>630</v>
      </c>
      <c r="F107" s="6" t="s">
        <v>639</v>
      </c>
      <c r="G107" s="6" t="s">
        <v>640</v>
      </c>
      <c r="H107" s="6" t="s">
        <v>160</v>
      </c>
      <c r="I107" s="6" t="s">
        <v>635</v>
      </c>
    </row>
    <row r="108" spans="1:9" ht="22.5" customHeight="1" x14ac:dyDescent="0.25">
      <c r="A108" s="4">
        <v>107</v>
      </c>
      <c r="B108" s="5" t="s">
        <v>641</v>
      </c>
      <c r="C108" s="6" t="s">
        <v>642</v>
      </c>
      <c r="D108" s="6" t="s">
        <v>627</v>
      </c>
      <c r="E108" s="6" t="s">
        <v>630</v>
      </c>
      <c r="F108" s="6" t="s">
        <v>645</v>
      </c>
      <c r="G108" s="6" t="s">
        <v>635</v>
      </c>
      <c r="H108" s="6" t="s">
        <v>647</v>
      </c>
      <c r="I108" s="6" t="s">
        <v>631</v>
      </c>
    </row>
    <row r="109" spans="1:9" ht="22.5" customHeight="1" x14ac:dyDescent="0.25">
      <c r="A109" s="4">
        <v>108</v>
      </c>
      <c r="B109" s="5" t="s">
        <v>648</v>
      </c>
      <c r="C109" s="6" t="s">
        <v>649</v>
      </c>
      <c r="D109" s="6" t="s">
        <v>627</v>
      </c>
      <c r="E109" s="6" t="s">
        <v>630</v>
      </c>
      <c r="F109" s="6" t="s">
        <v>650</v>
      </c>
      <c r="G109" s="6" t="s">
        <v>631</v>
      </c>
      <c r="H109" s="6" t="s">
        <v>595</v>
      </c>
      <c r="I109" s="6" t="s">
        <v>635</v>
      </c>
    </row>
    <row r="110" spans="1:9" ht="22.5" customHeight="1" x14ac:dyDescent="0.25">
      <c r="A110" s="4">
        <v>109</v>
      </c>
      <c r="B110" s="5" t="s">
        <v>651</v>
      </c>
      <c r="C110" s="6" t="s">
        <v>652</v>
      </c>
      <c r="D110" s="6" t="s">
        <v>627</v>
      </c>
      <c r="E110" s="6" t="s">
        <v>630</v>
      </c>
      <c r="F110" s="6" t="s">
        <v>653</v>
      </c>
      <c r="G110" s="6" t="s">
        <v>654</v>
      </c>
      <c r="H110" s="6" t="s">
        <v>631</v>
      </c>
      <c r="I110" s="6" t="s">
        <v>655</v>
      </c>
    </row>
    <row r="111" spans="1:9" ht="22.5" customHeight="1" x14ac:dyDescent="0.25">
      <c r="A111" s="4">
        <v>110</v>
      </c>
      <c r="B111" s="5" t="s">
        <v>656</v>
      </c>
      <c r="C111" s="6" t="s">
        <v>657</v>
      </c>
      <c r="D111" s="6" t="s">
        <v>627</v>
      </c>
      <c r="E111" s="6" t="s">
        <v>630</v>
      </c>
      <c r="F111" s="6" t="s">
        <v>659</v>
      </c>
      <c r="G111" s="6" t="s">
        <v>631</v>
      </c>
      <c r="H111" s="6" t="s">
        <v>660</v>
      </c>
      <c r="I111" s="6" t="s">
        <v>477</v>
      </c>
    </row>
    <row r="112" spans="1:9" ht="22.5" customHeight="1" x14ac:dyDescent="0.25">
      <c r="A112" s="4">
        <v>111</v>
      </c>
      <c r="B112" s="5" t="s">
        <v>661</v>
      </c>
      <c r="C112" s="6" t="s">
        <v>627</v>
      </c>
      <c r="D112" s="6" t="s">
        <v>662</v>
      </c>
      <c r="E112" s="6" t="s">
        <v>630</v>
      </c>
      <c r="F112" s="6" t="s">
        <v>663</v>
      </c>
      <c r="G112" s="6" t="s">
        <v>497</v>
      </c>
      <c r="H112" s="6" t="s">
        <v>664</v>
      </c>
      <c r="I112" s="6" t="s">
        <v>405</v>
      </c>
    </row>
    <row r="113" spans="1:9" ht="22.5" customHeight="1" x14ac:dyDescent="0.25">
      <c r="A113" s="4">
        <v>112</v>
      </c>
      <c r="B113" s="5" t="s">
        <v>272</v>
      </c>
      <c r="C113" s="6" t="s">
        <v>665</v>
      </c>
      <c r="D113" s="6" t="s">
        <v>666</v>
      </c>
      <c r="E113" s="6" t="s">
        <v>667</v>
      </c>
      <c r="F113" s="6" t="s">
        <v>39</v>
      </c>
      <c r="G113" s="6" t="s">
        <v>44</v>
      </c>
      <c r="H113" s="6" t="s">
        <v>668</v>
      </c>
      <c r="I113" s="6" t="s">
        <v>669</v>
      </c>
    </row>
    <row r="114" spans="1:9" ht="22.5" customHeight="1" x14ac:dyDescent="0.25">
      <c r="A114" s="4">
        <v>113</v>
      </c>
      <c r="B114" s="5" t="s">
        <v>282</v>
      </c>
      <c r="C114" s="6" t="s">
        <v>665</v>
      </c>
      <c r="D114" s="6" t="s">
        <v>667</v>
      </c>
      <c r="E114" s="6" t="s">
        <v>44</v>
      </c>
      <c r="F114" s="6" t="s">
        <v>669</v>
      </c>
      <c r="G114" s="6" t="s">
        <v>670</v>
      </c>
      <c r="H114" s="6" t="s">
        <v>40</v>
      </c>
      <c r="I114" s="6" t="s">
        <v>671</v>
      </c>
    </row>
    <row r="115" spans="1:9" ht="22.5" customHeight="1" x14ac:dyDescent="0.25">
      <c r="A115" s="4">
        <v>114</v>
      </c>
      <c r="B115" s="5" t="s">
        <v>286</v>
      </c>
      <c r="C115" s="6" t="s">
        <v>665</v>
      </c>
      <c r="D115" s="6" t="s">
        <v>667</v>
      </c>
      <c r="E115" s="6" t="s">
        <v>44</v>
      </c>
      <c r="F115" s="6" t="s">
        <v>669</v>
      </c>
      <c r="G115" s="6" t="s">
        <v>670</v>
      </c>
      <c r="H115" s="6" t="s">
        <v>671</v>
      </c>
      <c r="I115" s="6" t="s">
        <v>673</v>
      </c>
    </row>
    <row r="116" spans="1:9" ht="22.5" customHeight="1" x14ac:dyDescent="0.25">
      <c r="A116" s="4">
        <v>115</v>
      </c>
      <c r="B116" s="5" t="s">
        <v>375</v>
      </c>
      <c r="C116" s="6" t="s">
        <v>665</v>
      </c>
      <c r="D116" s="6" t="s">
        <v>667</v>
      </c>
      <c r="E116" s="6" t="s">
        <v>44</v>
      </c>
      <c r="F116" s="6" t="s">
        <v>39</v>
      </c>
      <c r="G116" s="6" t="s">
        <v>669</v>
      </c>
      <c r="H116" s="6" t="s">
        <v>670</v>
      </c>
      <c r="I116" s="6" t="s">
        <v>671</v>
      </c>
    </row>
    <row r="117" spans="1:9" ht="22.5" customHeight="1" x14ac:dyDescent="0.25">
      <c r="A117" s="4">
        <v>116</v>
      </c>
      <c r="B117" s="5" t="s">
        <v>289</v>
      </c>
      <c r="C117" s="6" t="s">
        <v>665</v>
      </c>
      <c r="D117" s="6" t="s">
        <v>667</v>
      </c>
      <c r="E117" s="6" t="s">
        <v>44</v>
      </c>
      <c r="F117" s="6" t="s">
        <v>669</v>
      </c>
      <c r="G117" s="6" t="s">
        <v>670</v>
      </c>
      <c r="H117" s="6" t="s">
        <v>671</v>
      </c>
      <c r="I117" s="6" t="s">
        <v>674</v>
      </c>
    </row>
    <row r="118" spans="1:9" ht="22.5" customHeight="1" x14ac:dyDescent="0.25">
      <c r="A118" s="4">
        <v>117</v>
      </c>
      <c r="B118" s="5" t="s">
        <v>35</v>
      </c>
      <c r="C118" s="6" t="s">
        <v>40</v>
      </c>
      <c r="D118" s="6" t="s">
        <v>675</v>
      </c>
      <c r="E118" s="6" t="s">
        <v>676</v>
      </c>
      <c r="F118" s="6" t="s">
        <v>677</v>
      </c>
      <c r="G118" s="6" t="s">
        <v>667</v>
      </c>
      <c r="H118" s="6" t="s">
        <v>44</v>
      </c>
      <c r="I118" s="6" t="s">
        <v>572</v>
      </c>
    </row>
    <row r="119" spans="1:9" ht="22.5" customHeight="1" x14ac:dyDescent="0.25">
      <c r="A119" s="4">
        <v>118</v>
      </c>
      <c r="B119" s="5" t="s">
        <v>358</v>
      </c>
      <c r="C119" s="6" t="s">
        <v>679</v>
      </c>
      <c r="D119" s="6" t="s">
        <v>667</v>
      </c>
      <c r="E119" s="6" t="s">
        <v>44</v>
      </c>
      <c r="F119" s="6" t="s">
        <v>39</v>
      </c>
      <c r="G119" s="6" t="s">
        <v>138</v>
      </c>
      <c r="H119" s="6" t="s">
        <v>140</v>
      </c>
      <c r="I119" s="6" t="s">
        <v>680</v>
      </c>
    </row>
    <row r="120" spans="1:9" ht="22.5" customHeight="1" x14ac:dyDescent="0.25">
      <c r="A120" s="4">
        <v>119</v>
      </c>
      <c r="B120" s="5" t="s">
        <v>198</v>
      </c>
      <c r="C120" s="6" t="s">
        <v>680</v>
      </c>
      <c r="D120" s="6" t="s">
        <v>207</v>
      </c>
      <c r="E120" s="6" t="s">
        <v>143</v>
      </c>
      <c r="F120" s="6" t="s">
        <v>31</v>
      </c>
      <c r="G120" s="6" t="s">
        <v>341</v>
      </c>
      <c r="H120" s="6" t="s">
        <v>67</v>
      </c>
      <c r="I120" s="6" t="s">
        <v>142</v>
      </c>
    </row>
    <row r="121" spans="1:9" ht="22.5" customHeight="1" x14ac:dyDescent="0.25">
      <c r="A121" s="4">
        <v>120</v>
      </c>
      <c r="B121" s="5" t="s">
        <v>208</v>
      </c>
      <c r="C121" s="6" t="s">
        <v>242</v>
      </c>
      <c r="D121" s="6" t="s">
        <v>681</v>
      </c>
      <c r="E121" s="6" t="s">
        <v>124</v>
      </c>
      <c r="F121" s="6" t="s">
        <v>126</v>
      </c>
      <c r="G121" s="6" t="s">
        <v>682</v>
      </c>
      <c r="H121" s="6" t="s">
        <v>683</v>
      </c>
      <c r="I121" s="6" t="s">
        <v>197</v>
      </c>
    </row>
    <row r="122" spans="1:9" ht="22.5" customHeight="1" x14ac:dyDescent="0.25">
      <c r="A122" s="4">
        <v>121</v>
      </c>
      <c r="B122" s="5" t="s">
        <v>684</v>
      </c>
      <c r="C122" s="6" t="s">
        <v>550</v>
      </c>
      <c r="D122" s="6" t="s">
        <v>118</v>
      </c>
      <c r="E122" s="6" t="s">
        <v>685</v>
      </c>
      <c r="F122" s="6" t="s">
        <v>686</v>
      </c>
      <c r="G122" s="6" t="s">
        <v>229</v>
      </c>
      <c r="H122" s="6" t="s">
        <v>687</v>
      </c>
      <c r="I122" s="6" t="s">
        <v>211</v>
      </c>
    </row>
    <row r="123" spans="1:9" ht="22.5" customHeight="1" x14ac:dyDescent="0.25">
      <c r="A123" s="4">
        <v>122</v>
      </c>
      <c r="B123" s="5" t="s">
        <v>689</v>
      </c>
      <c r="C123" s="6" t="s">
        <v>690</v>
      </c>
      <c r="D123" s="6" t="s">
        <v>691</v>
      </c>
      <c r="E123" s="6" t="s">
        <v>692</v>
      </c>
      <c r="F123" s="6" t="s">
        <v>693</v>
      </c>
      <c r="G123" s="6" t="s">
        <v>694</v>
      </c>
      <c r="H123" s="6" t="s">
        <v>56</v>
      </c>
      <c r="I123" s="6" t="s">
        <v>160</v>
      </c>
    </row>
    <row r="124" spans="1:9" ht="22.5" customHeight="1" x14ac:dyDescent="0.25">
      <c r="A124" s="4">
        <v>123</v>
      </c>
      <c r="B124" s="5" t="s">
        <v>695</v>
      </c>
      <c r="C124" s="6" t="s">
        <v>351</v>
      </c>
      <c r="D124" s="6" t="s">
        <v>175</v>
      </c>
      <c r="E124" s="6" t="s">
        <v>696</v>
      </c>
      <c r="F124" s="6" t="s">
        <v>697</v>
      </c>
      <c r="G124" s="6" t="s">
        <v>334</v>
      </c>
      <c r="H124" s="6" t="s">
        <v>372</v>
      </c>
      <c r="I124" s="6" t="s">
        <v>362</v>
      </c>
    </row>
    <row r="125" spans="1:9" ht="22.5" customHeight="1" x14ac:dyDescent="0.25">
      <c r="A125" s="4">
        <v>124</v>
      </c>
      <c r="B125" s="5" t="s">
        <v>697</v>
      </c>
      <c r="C125" s="6" t="s">
        <v>698</v>
      </c>
      <c r="D125" s="6" t="s">
        <v>696</v>
      </c>
      <c r="E125" s="6" t="s">
        <v>362</v>
      </c>
      <c r="F125" s="6" t="s">
        <v>700</v>
      </c>
      <c r="G125" s="6" t="s">
        <v>701</v>
      </c>
      <c r="H125" s="6" t="s">
        <v>463</v>
      </c>
      <c r="I125" s="6" t="s">
        <v>290</v>
      </c>
    </row>
    <row r="126" spans="1:9" ht="22.5" customHeight="1" x14ac:dyDescent="0.25">
      <c r="A126" s="4">
        <v>125</v>
      </c>
      <c r="B126" s="5" t="s">
        <v>703</v>
      </c>
      <c r="C126" s="6" t="s">
        <v>704</v>
      </c>
      <c r="D126" s="6" t="s">
        <v>111</v>
      </c>
      <c r="E126" s="6" t="s">
        <v>109</v>
      </c>
      <c r="F126" s="6" t="s">
        <v>49</v>
      </c>
      <c r="G126" s="6" t="s">
        <v>705</v>
      </c>
      <c r="H126" s="6" t="s">
        <v>706</v>
      </c>
      <c r="I126" s="6" t="s">
        <v>707</v>
      </c>
    </row>
    <row r="127" spans="1:9" ht="22.5" customHeight="1" x14ac:dyDescent="0.25">
      <c r="A127" s="4">
        <v>126</v>
      </c>
      <c r="B127" s="5" t="s">
        <v>708</v>
      </c>
      <c r="C127" s="6" t="s">
        <v>109</v>
      </c>
      <c r="D127" s="6" t="s">
        <v>703</v>
      </c>
      <c r="E127" s="6" t="s">
        <v>709</v>
      </c>
      <c r="F127" s="6" t="s">
        <v>114</v>
      </c>
      <c r="G127" s="6" t="s">
        <v>705</v>
      </c>
      <c r="H127" s="6" t="s">
        <v>710</v>
      </c>
      <c r="I127" s="6" t="s">
        <v>49</v>
      </c>
    </row>
    <row r="128" spans="1:9" ht="22.5" customHeight="1" x14ac:dyDescent="0.25">
      <c r="A128" s="4">
        <v>127</v>
      </c>
      <c r="B128" s="5" t="s">
        <v>711</v>
      </c>
      <c r="C128" s="6" t="s">
        <v>712</v>
      </c>
      <c r="D128" s="6" t="s">
        <v>109</v>
      </c>
      <c r="E128" s="6" t="s">
        <v>703</v>
      </c>
      <c r="F128" s="6" t="s">
        <v>713</v>
      </c>
      <c r="G128" s="6" t="s">
        <v>714</v>
      </c>
      <c r="H128" s="6" t="s">
        <v>39</v>
      </c>
      <c r="I128" s="6" t="s">
        <v>705</v>
      </c>
    </row>
    <row r="129" spans="1:9" ht="22.5" customHeight="1" x14ac:dyDescent="0.25">
      <c r="A129" s="4">
        <v>128</v>
      </c>
      <c r="B129" s="5" t="s">
        <v>715</v>
      </c>
      <c r="C129" s="6" t="s">
        <v>49</v>
      </c>
      <c r="D129" s="6" t="s">
        <v>716</v>
      </c>
      <c r="E129" s="6" t="s">
        <v>717</v>
      </c>
      <c r="F129" s="6" t="s">
        <v>118</v>
      </c>
      <c r="G129" s="6" t="s">
        <v>171</v>
      </c>
      <c r="H129" s="6" t="s">
        <v>705</v>
      </c>
      <c r="I129" s="6" t="s">
        <v>106</v>
      </c>
    </row>
    <row r="130" spans="1:9" ht="22.5" customHeight="1" x14ac:dyDescent="0.25">
      <c r="A130" s="4">
        <v>129</v>
      </c>
      <c r="B130" s="5" t="s">
        <v>716</v>
      </c>
      <c r="C130" s="6" t="s">
        <v>49</v>
      </c>
      <c r="D130" s="6" t="s">
        <v>585</v>
      </c>
      <c r="E130" s="6" t="s">
        <v>717</v>
      </c>
      <c r="F130" s="6" t="s">
        <v>705</v>
      </c>
      <c r="G130" s="6" t="s">
        <v>718</v>
      </c>
      <c r="H130" s="6" t="s">
        <v>96</v>
      </c>
      <c r="I130" s="6" t="s">
        <v>715</v>
      </c>
    </row>
    <row r="131" spans="1:9" ht="22.5" customHeight="1" x14ac:dyDescent="0.25">
      <c r="A131" s="4">
        <v>130</v>
      </c>
      <c r="B131" s="5" t="s">
        <v>719</v>
      </c>
      <c r="C131" s="6" t="s">
        <v>720</v>
      </c>
      <c r="D131" s="6" t="s">
        <v>705</v>
      </c>
      <c r="E131" s="6" t="s">
        <v>49</v>
      </c>
      <c r="F131" s="6" t="s">
        <v>196</v>
      </c>
      <c r="G131" s="6" t="s">
        <v>721</v>
      </c>
      <c r="H131" s="6" t="s">
        <v>715</v>
      </c>
      <c r="I131" s="6" t="s">
        <v>703</v>
      </c>
    </row>
    <row r="132" spans="1:9" ht="22.5" customHeight="1" x14ac:dyDescent="0.25">
      <c r="A132" s="4">
        <v>131</v>
      </c>
      <c r="B132" s="5" t="s">
        <v>722</v>
      </c>
      <c r="C132" s="6" t="s">
        <v>64</v>
      </c>
      <c r="D132" s="6" t="s">
        <v>696</v>
      </c>
      <c r="E132" s="6" t="s">
        <v>723</v>
      </c>
      <c r="F132" s="6" t="s">
        <v>362</v>
      </c>
      <c r="G132" s="6" t="s">
        <v>724</v>
      </c>
      <c r="H132" s="6" t="s">
        <v>132</v>
      </c>
      <c r="I132" s="6" t="s">
        <v>725</v>
      </c>
    </row>
    <row r="133" spans="1:9" ht="22.5" customHeight="1" x14ac:dyDescent="0.25">
      <c r="A133" s="4">
        <v>132</v>
      </c>
      <c r="B133" s="5" t="s">
        <v>694</v>
      </c>
      <c r="C133" s="6" t="s">
        <v>337</v>
      </c>
      <c r="D133" s="6" t="s">
        <v>693</v>
      </c>
      <c r="E133" s="6" t="s">
        <v>56</v>
      </c>
      <c r="F133" s="6" t="s">
        <v>726</v>
      </c>
      <c r="G133" s="6" t="s">
        <v>74</v>
      </c>
      <c r="H133" s="6" t="s">
        <v>689</v>
      </c>
      <c r="I133" s="6" t="s">
        <v>727</v>
      </c>
    </row>
    <row r="134" spans="1:9" ht="22.5" customHeight="1" x14ac:dyDescent="0.25">
      <c r="A134" s="4">
        <v>133</v>
      </c>
      <c r="B134" s="5" t="s">
        <v>533</v>
      </c>
      <c r="C134" s="6" t="s">
        <v>39</v>
      </c>
      <c r="D134" s="6" t="s">
        <v>229</v>
      </c>
      <c r="E134" s="6" t="s">
        <v>728</v>
      </c>
      <c r="F134" s="6" t="s">
        <v>729</v>
      </c>
      <c r="G134" s="6" t="s">
        <v>106</v>
      </c>
      <c r="H134" s="6" t="s">
        <v>199</v>
      </c>
      <c r="I134" s="6" t="s">
        <v>730</v>
      </c>
    </row>
    <row r="135" spans="1:9" ht="22.5" customHeight="1" x14ac:dyDescent="0.25">
      <c r="A135" s="4">
        <v>134</v>
      </c>
      <c r="B135" s="5" t="s">
        <v>731</v>
      </c>
      <c r="C135" s="6" t="s">
        <v>732</v>
      </c>
      <c r="D135" s="6" t="s">
        <v>571</v>
      </c>
      <c r="E135" s="6" t="s">
        <v>96</v>
      </c>
      <c r="F135" s="6" t="s">
        <v>733</v>
      </c>
      <c r="G135" s="6" t="s">
        <v>570</v>
      </c>
      <c r="H135" s="6" t="s">
        <v>734</v>
      </c>
      <c r="I135" s="6" t="s">
        <v>735</v>
      </c>
    </row>
    <row r="136" spans="1:9" ht="22.5" customHeight="1" x14ac:dyDescent="0.25">
      <c r="A136" s="4">
        <v>135</v>
      </c>
      <c r="B136" s="5" t="s">
        <v>737</v>
      </c>
      <c r="C136" s="6" t="s">
        <v>571</v>
      </c>
      <c r="D136" s="6" t="s">
        <v>646</v>
      </c>
      <c r="E136" s="6" t="s">
        <v>738</v>
      </c>
      <c r="F136" s="6" t="s">
        <v>132</v>
      </c>
      <c r="G136" s="6" t="s">
        <v>40</v>
      </c>
      <c r="H136" s="6" t="s">
        <v>735</v>
      </c>
      <c r="I136" s="6" t="s">
        <v>570</v>
      </c>
    </row>
    <row r="137" spans="1:9" ht="22.5" customHeight="1" x14ac:dyDescent="0.25">
      <c r="A137" s="4">
        <v>136</v>
      </c>
      <c r="B137" s="5" t="s">
        <v>739</v>
      </c>
      <c r="C137" s="6" t="s">
        <v>740</v>
      </c>
      <c r="D137" s="6" t="s">
        <v>571</v>
      </c>
      <c r="E137" s="6" t="s">
        <v>313</v>
      </c>
      <c r="F137" s="6" t="s">
        <v>553</v>
      </c>
      <c r="G137" s="6" t="s">
        <v>741</v>
      </c>
      <c r="H137" s="6" t="s">
        <v>742</v>
      </c>
      <c r="I137" s="6" t="s">
        <v>743</v>
      </c>
    </row>
    <row r="138" spans="1:9" ht="22.5" customHeight="1" x14ac:dyDescent="0.25">
      <c r="A138" s="4">
        <v>137</v>
      </c>
      <c r="B138" s="5" t="s">
        <v>744</v>
      </c>
      <c r="C138" s="6" t="s">
        <v>745</v>
      </c>
      <c r="D138" s="6" t="s">
        <v>571</v>
      </c>
      <c r="E138" s="6" t="s">
        <v>553</v>
      </c>
      <c r="F138" s="6" t="s">
        <v>735</v>
      </c>
      <c r="G138" s="6" t="s">
        <v>739</v>
      </c>
      <c r="H138" s="6" t="s">
        <v>738</v>
      </c>
      <c r="I138" s="6" t="s">
        <v>746</v>
      </c>
    </row>
    <row r="139" spans="1:9" ht="22.5" customHeight="1" x14ac:dyDescent="0.25">
      <c r="A139" s="4">
        <v>138</v>
      </c>
      <c r="B139" s="5" t="s">
        <v>747</v>
      </c>
      <c r="C139" s="6" t="s">
        <v>733</v>
      </c>
      <c r="D139" s="6" t="s">
        <v>738</v>
      </c>
      <c r="E139" s="6" t="s">
        <v>571</v>
      </c>
      <c r="F139" s="6" t="s">
        <v>504</v>
      </c>
      <c r="G139" s="6" t="s">
        <v>748</v>
      </c>
      <c r="H139" s="6" t="s">
        <v>749</v>
      </c>
      <c r="I139" s="6" t="s">
        <v>750</v>
      </c>
    </row>
    <row r="140" spans="1:9" ht="22.5" customHeight="1" x14ac:dyDescent="0.25">
      <c r="A140" s="4">
        <v>139</v>
      </c>
      <c r="B140" s="5" t="s">
        <v>558</v>
      </c>
      <c r="C140" s="6" t="s">
        <v>751</v>
      </c>
      <c r="D140" s="6" t="s">
        <v>561</v>
      </c>
      <c r="E140" s="6" t="s">
        <v>560</v>
      </c>
      <c r="F140" s="6" t="s">
        <v>752</v>
      </c>
      <c r="G140" s="6" t="s">
        <v>447</v>
      </c>
      <c r="H140" s="6" t="s">
        <v>754</v>
      </c>
      <c r="I140" s="6" t="s">
        <v>755</v>
      </c>
    </row>
    <row r="141" spans="1:9" ht="22.5" customHeight="1" x14ac:dyDescent="0.25">
      <c r="A141" s="4">
        <v>140</v>
      </c>
      <c r="B141" s="5" t="s">
        <v>756</v>
      </c>
      <c r="C141" s="6" t="s">
        <v>757</v>
      </c>
      <c r="D141" s="6" t="s">
        <v>556</v>
      </c>
      <c r="E141" s="6" t="s">
        <v>560</v>
      </c>
      <c r="F141" s="6" t="s">
        <v>139</v>
      </c>
      <c r="G141" s="6" t="s">
        <v>759</v>
      </c>
      <c r="H141" s="6" t="s">
        <v>760</v>
      </c>
      <c r="I141" s="6" t="s">
        <v>561</v>
      </c>
    </row>
    <row r="142" spans="1:9" ht="22.5" customHeight="1" x14ac:dyDescent="0.25">
      <c r="A142" s="4">
        <v>141</v>
      </c>
      <c r="B142" s="5" t="s">
        <v>761</v>
      </c>
      <c r="C142" s="6" t="s">
        <v>762</v>
      </c>
      <c r="D142" s="6" t="s">
        <v>560</v>
      </c>
      <c r="E142" s="6" t="s">
        <v>763</v>
      </c>
      <c r="F142" s="6" t="s">
        <v>655</v>
      </c>
      <c r="G142" s="6" t="s">
        <v>764</v>
      </c>
      <c r="H142" s="6" t="s">
        <v>558</v>
      </c>
      <c r="I142" s="6" t="s">
        <v>752</v>
      </c>
    </row>
    <row r="143" spans="1:9" ht="22.5" customHeight="1" x14ac:dyDescent="0.25">
      <c r="A143" s="4">
        <v>142</v>
      </c>
      <c r="B143" s="5" t="s">
        <v>767</v>
      </c>
      <c r="C143" s="6" t="s">
        <v>560</v>
      </c>
      <c r="D143" s="6" t="s">
        <v>768</v>
      </c>
      <c r="E143" s="6" t="s">
        <v>769</v>
      </c>
      <c r="F143" s="6" t="s">
        <v>752</v>
      </c>
      <c r="G143" s="6" t="s">
        <v>770</v>
      </c>
      <c r="H143" s="6" t="s">
        <v>313</v>
      </c>
      <c r="I143" s="6" t="s">
        <v>710</v>
      </c>
    </row>
    <row r="144" spans="1:9" ht="22.5" customHeight="1" x14ac:dyDescent="0.25">
      <c r="A144" s="4">
        <v>143</v>
      </c>
      <c r="B144" s="5" t="s">
        <v>771</v>
      </c>
      <c r="C144" s="6" t="s">
        <v>772</v>
      </c>
      <c r="D144" s="6" t="s">
        <v>773</v>
      </c>
      <c r="E144" s="6" t="s">
        <v>635</v>
      </c>
      <c r="F144" s="6" t="s">
        <v>774</v>
      </c>
      <c r="G144" s="6" t="s">
        <v>775</v>
      </c>
      <c r="H144" s="6" t="s">
        <v>776</v>
      </c>
      <c r="I144" s="6" t="s">
        <v>89</v>
      </c>
    </row>
    <row r="145" spans="1:9" ht="22.5" customHeight="1" x14ac:dyDescent="0.25">
      <c r="A145" s="4">
        <v>144</v>
      </c>
      <c r="B145" s="5" t="s">
        <v>777</v>
      </c>
      <c r="C145" s="6" t="s">
        <v>778</v>
      </c>
      <c r="D145" s="6" t="s">
        <v>773</v>
      </c>
      <c r="E145" s="6" t="s">
        <v>669</v>
      </c>
      <c r="F145" s="6" t="s">
        <v>197</v>
      </c>
      <c r="G145" s="6" t="s">
        <v>31</v>
      </c>
      <c r="H145" s="6" t="s">
        <v>779</v>
      </c>
      <c r="I145" s="6" t="s">
        <v>780</v>
      </c>
    </row>
    <row r="146" spans="1:9" ht="22.5" customHeight="1" x14ac:dyDescent="0.25">
      <c r="A146" s="4">
        <v>145</v>
      </c>
      <c r="B146" s="5" t="s">
        <v>776</v>
      </c>
      <c r="C146" s="6" t="s">
        <v>781</v>
      </c>
      <c r="D146" s="6" t="s">
        <v>635</v>
      </c>
      <c r="E146" s="6" t="s">
        <v>773</v>
      </c>
      <c r="F146" s="6" t="s">
        <v>774</v>
      </c>
      <c r="G146" s="6" t="s">
        <v>66</v>
      </c>
      <c r="H146" s="6" t="s">
        <v>89</v>
      </c>
      <c r="I146" s="6" t="s">
        <v>278</v>
      </c>
    </row>
    <row r="147" spans="1:9" ht="22.5" customHeight="1" x14ac:dyDescent="0.25">
      <c r="A147" s="4">
        <v>146</v>
      </c>
      <c r="B147" s="5" t="s">
        <v>782</v>
      </c>
      <c r="C147" s="6" t="s">
        <v>91</v>
      </c>
      <c r="D147" s="6" t="s">
        <v>773</v>
      </c>
      <c r="E147" s="6" t="s">
        <v>109</v>
      </c>
      <c r="F147" s="6" t="s">
        <v>778</v>
      </c>
      <c r="G147" s="6" t="s">
        <v>143</v>
      </c>
      <c r="H147" s="6" t="s">
        <v>89</v>
      </c>
      <c r="I147" s="6" t="s">
        <v>783</v>
      </c>
    </row>
    <row r="148" spans="1:9" ht="22.5" customHeight="1" x14ac:dyDescent="0.25">
      <c r="A148" s="4">
        <v>147</v>
      </c>
      <c r="B148" s="5" t="s">
        <v>784</v>
      </c>
      <c r="C148" s="6" t="s">
        <v>785</v>
      </c>
      <c r="D148" s="6" t="s">
        <v>574</v>
      </c>
      <c r="E148" s="6" t="s">
        <v>786</v>
      </c>
      <c r="F148" s="6" t="s">
        <v>49</v>
      </c>
      <c r="G148" s="6" t="s">
        <v>368</v>
      </c>
      <c r="H148" s="6" t="s">
        <v>363</v>
      </c>
      <c r="I148" s="6" t="s">
        <v>411</v>
      </c>
    </row>
    <row r="149" spans="1:9" ht="22.5" customHeight="1" x14ac:dyDescent="0.25">
      <c r="A149" s="4">
        <v>148</v>
      </c>
      <c r="B149" s="5" t="s">
        <v>787</v>
      </c>
      <c r="C149" s="6" t="s">
        <v>788</v>
      </c>
      <c r="D149" s="6" t="s">
        <v>574</v>
      </c>
      <c r="E149" s="6" t="s">
        <v>786</v>
      </c>
      <c r="F149" s="6" t="s">
        <v>789</v>
      </c>
      <c r="G149" s="6" t="s">
        <v>197</v>
      </c>
      <c r="H149" s="6" t="s">
        <v>206</v>
      </c>
      <c r="I149" s="6" t="s">
        <v>790</v>
      </c>
    </row>
    <row r="150" spans="1:9" ht="22.5" customHeight="1" x14ac:dyDescent="0.25">
      <c r="A150" s="4">
        <v>149</v>
      </c>
      <c r="B150" s="5" t="s">
        <v>791</v>
      </c>
      <c r="C150" s="6" t="s">
        <v>74</v>
      </c>
      <c r="D150" s="6" t="s">
        <v>574</v>
      </c>
      <c r="E150" s="6" t="s">
        <v>416</v>
      </c>
      <c r="F150" s="6" t="s">
        <v>575</v>
      </c>
      <c r="G150" s="6" t="s">
        <v>792</v>
      </c>
      <c r="H150" s="6" t="s">
        <v>786</v>
      </c>
      <c r="I150" s="6" t="s">
        <v>793</v>
      </c>
    </row>
    <row r="151" spans="1:9" ht="22.5" customHeight="1" x14ac:dyDescent="0.25">
      <c r="A151" s="4">
        <v>150</v>
      </c>
      <c r="B151" s="5" t="s">
        <v>304</v>
      </c>
      <c r="C151" s="6" t="s">
        <v>190</v>
      </c>
      <c r="D151" s="6" t="s">
        <v>575</v>
      </c>
      <c r="E151" s="6" t="s">
        <v>192</v>
      </c>
      <c r="F151" s="6" t="s">
        <v>39</v>
      </c>
      <c r="G151" s="6" t="s">
        <v>794</v>
      </c>
      <c r="H151" s="6" t="s">
        <v>229</v>
      </c>
      <c r="I151" s="6" t="s">
        <v>573</v>
      </c>
    </row>
    <row r="152" spans="1:9" ht="22.5" customHeight="1" x14ac:dyDescent="0.25">
      <c r="A152" s="4">
        <v>151</v>
      </c>
      <c r="B152" s="5" t="s">
        <v>795</v>
      </c>
      <c r="C152" s="6" t="s">
        <v>796</v>
      </c>
      <c r="D152" s="6" t="s">
        <v>797</v>
      </c>
      <c r="E152" s="6" t="s">
        <v>99</v>
      </c>
      <c r="F152" s="6" t="s">
        <v>798</v>
      </c>
      <c r="G152" s="6" t="s">
        <v>799</v>
      </c>
      <c r="H152" s="6" t="s">
        <v>800</v>
      </c>
      <c r="I152" s="6" t="s">
        <v>801</v>
      </c>
    </row>
    <row r="153" spans="1:9" ht="22.5" customHeight="1" x14ac:dyDescent="0.25">
      <c r="A153" s="4">
        <v>152</v>
      </c>
      <c r="B153" s="5" t="s">
        <v>798</v>
      </c>
      <c r="C153" s="6" t="s">
        <v>74</v>
      </c>
      <c r="D153" s="6" t="s">
        <v>803</v>
      </c>
      <c r="E153" s="6" t="s">
        <v>797</v>
      </c>
      <c r="F153" s="6" t="s">
        <v>795</v>
      </c>
      <c r="G153" s="6" t="s">
        <v>143</v>
      </c>
      <c r="H153" s="6" t="s">
        <v>804</v>
      </c>
      <c r="I153" s="6" t="s">
        <v>796</v>
      </c>
    </row>
    <row r="154" spans="1:9" ht="22.5" customHeight="1" x14ac:dyDescent="0.25">
      <c r="A154" s="4">
        <v>153</v>
      </c>
      <c r="B154" s="5" t="s">
        <v>643</v>
      </c>
      <c r="C154" s="6" t="s">
        <v>646</v>
      </c>
      <c r="D154" s="6" t="s">
        <v>481</v>
      </c>
      <c r="E154" s="6" t="s">
        <v>763</v>
      </c>
      <c r="F154" s="6" t="s">
        <v>805</v>
      </c>
      <c r="G154" s="6" t="s">
        <v>806</v>
      </c>
      <c r="H154" s="6" t="s">
        <v>807</v>
      </c>
      <c r="I154" s="6" t="s">
        <v>132</v>
      </c>
    </row>
    <row r="155" spans="1:9" ht="22.5" customHeight="1" x14ac:dyDescent="0.25">
      <c r="A155" s="4">
        <v>154</v>
      </c>
      <c r="B155" s="5" t="s">
        <v>805</v>
      </c>
      <c r="C155" s="6" t="s">
        <v>732</v>
      </c>
      <c r="D155" s="6" t="s">
        <v>809</v>
      </c>
      <c r="E155" s="6" t="s">
        <v>810</v>
      </c>
      <c r="F155" s="6" t="s">
        <v>481</v>
      </c>
      <c r="G155" s="6" t="s">
        <v>180</v>
      </c>
      <c r="H155" s="6" t="s">
        <v>811</v>
      </c>
      <c r="I155" s="6" t="s">
        <v>807</v>
      </c>
    </row>
    <row r="156" spans="1:9" ht="22.5" customHeight="1" x14ac:dyDescent="0.25">
      <c r="A156" s="4">
        <v>155</v>
      </c>
      <c r="B156" s="5" t="s">
        <v>812</v>
      </c>
      <c r="C156" s="6" t="s">
        <v>111</v>
      </c>
      <c r="D156" s="6" t="s">
        <v>109</v>
      </c>
      <c r="E156" s="6" t="s">
        <v>813</v>
      </c>
      <c r="F156" s="6" t="s">
        <v>814</v>
      </c>
      <c r="G156" s="6" t="s">
        <v>815</v>
      </c>
      <c r="H156" s="6" t="s">
        <v>816</v>
      </c>
      <c r="I156" s="6" t="s">
        <v>807</v>
      </c>
    </row>
    <row r="157" spans="1:9" ht="22.5" customHeight="1" x14ac:dyDescent="0.25">
      <c r="A157" s="4">
        <v>156</v>
      </c>
      <c r="B157" s="5" t="s">
        <v>817</v>
      </c>
      <c r="C157" s="6" t="s">
        <v>179</v>
      </c>
      <c r="D157" s="6" t="s">
        <v>481</v>
      </c>
      <c r="E157" s="6" t="s">
        <v>643</v>
      </c>
      <c r="F157" s="6" t="s">
        <v>140</v>
      </c>
      <c r="G157" s="6" t="s">
        <v>805</v>
      </c>
      <c r="H157" s="6" t="s">
        <v>807</v>
      </c>
      <c r="I157" s="6" t="s">
        <v>763</v>
      </c>
    </row>
    <row r="158" spans="1:9" ht="22.5" customHeight="1" x14ac:dyDescent="0.25">
      <c r="A158" s="4">
        <v>157</v>
      </c>
      <c r="B158" s="5" t="s">
        <v>476</v>
      </c>
      <c r="C158" s="6" t="s">
        <v>115</v>
      </c>
      <c r="D158" s="6" t="s">
        <v>819</v>
      </c>
      <c r="E158" s="6" t="s">
        <v>718</v>
      </c>
      <c r="F158" s="6" t="s">
        <v>109</v>
      </c>
      <c r="G158" s="6" t="s">
        <v>820</v>
      </c>
      <c r="H158" s="6" t="s">
        <v>107</v>
      </c>
      <c r="I158" s="6" t="s">
        <v>44</v>
      </c>
    </row>
    <row r="159" spans="1:9" ht="22.5" customHeight="1" x14ac:dyDescent="0.25">
      <c r="A159" s="4">
        <v>158</v>
      </c>
      <c r="B159" s="5" t="s">
        <v>821</v>
      </c>
      <c r="C159" s="6" t="s">
        <v>822</v>
      </c>
      <c r="D159" s="6" t="s">
        <v>823</v>
      </c>
      <c r="E159" s="6" t="s">
        <v>481</v>
      </c>
      <c r="F159" s="6" t="s">
        <v>825</v>
      </c>
      <c r="G159" s="6" t="s">
        <v>31</v>
      </c>
      <c r="H159" s="6" t="s">
        <v>805</v>
      </c>
      <c r="I159" s="6" t="s">
        <v>712</v>
      </c>
    </row>
    <row r="160" spans="1:9" ht="22.5" customHeight="1" x14ac:dyDescent="0.25">
      <c r="A160" s="4">
        <v>159</v>
      </c>
      <c r="B160" s="5" t="s">
        <v>826</v>
      </c>
      <c r="C160" s="6" t="s">
        <v>827</v>
      </c>
      <c r="D160" s="6" t="s">
        <v>481</v>
      </c>
      <c r="E160" s="6" t="s">
        <v>828</v>
      </c>
      <c r="F160" s="6" t="s">
        <v>112</v>
      </c>
      <c r="G160" s="6" t="s">
        <v>805</v>
      </c>
      <c r="H160" s="6" t="s">
        <v>106</v>
      </c>
      <c r="I160" s="6" t="s">
        <v>829</v>
      </c>
    </row>
    <row r="161" spans="1:9" ht="22.5" customHeight="1" x14ac:dyDescent="0.25">
      <c r="A161" s="4">
        <v>160</v>
      </c>
      <c r="B161" s="5" t="s">
        <v>830</v>
      </c>
      <c r="C161" s="6" t="s">
        <v>831</v>
      </c>
      <c r="D161" s="6" t="s">
        <v>514</v>
      </c>
      <c r="E161" s="6" t="s">
        <v>39</v>
      </c>
      <c r="F161" s="6" t="s">
        <v>732</v>
      </c>
      <c r="G161" s="6" t="s">
        <v>832</v>
      </c>
      <c r="H161" s="6" t="s">
        <v>833</v>
      </c>
      <c r="I161" s="6" t="s">
        <v>688</v>
      </c>
    </row>
    <row r="162" spans="1:9" ht="22.5" customHeight="1" x14ac:dyDescent="0.25">
      <c r="A162" s="4">
        <v>161</v>
      </c>
      <c r="B162" s="5" t="s">
        <v>688</v>
      </c>
      <c r="C162" s="6" t="s">
        <v>831</v>
      </c>
      <c r="D162" s="6" t="s">
        <v>514</v>
      </c>
      <c r="E162" s="6" t="s">
        <v>834</v>
      </c>
      <c r="F162" s="6" t="s">
        <v>835</v>
      </c>
      <c r="G162" s="6" t="s">
        <v>830</v>
      </c>
      <c r="H162" s="6" t="s">
        <v>39</v>
      </c>
      <c r="I162" s="6" t="s">
        <v>836</v>
      </c>
    </row>
    <row r="163" spans="1:9" ht="22.5" customHeight="1" x14ac:dyDescent="0.25">
      <c r="A163" s="4">
        <v>162</v>
      </c>
      <c r="B163" s="5" t="s">
        <v>833</v>
      </c>
      <c r="C163" s="6" t="s">
        <v>514</v>
      </c>
      <c r="D163" s="6" t="s">
        <v>545</v>
      </c>
      <c r="E163" s="6" t="s">
        <v>830</v>
      </c>
      <c r="F163" s="6" t="s">
        <v>837</v>
      </c>
      <c r="G163" s="6" t="s">
        <v>197</v>
      </c>
      <c r="H163" s="6" t="s">
        <v>838</v>
      </c>
      <c r="I163" s="6" t="s">
        <v>732</v>
      </c>
    </row>
    <row r="164" spans="1:9" ht="22.5" customHeight="1" x14ac:dyDescent="0.25">
      <c r="A164" s="4">
        <v>163</v>
      </c>
      <c r="B164" s="5" t="s">
        <v>839</v>
      </c>
      <c r="C164" s="6" t="s">
        <v>840</v>
      </c>
      <c r="D164" s="6" t="s">
        <v>841</v>
      </c>
      <c r="E164" s="6" t="s">
        <v>514</v>
      </c>
      <c r="F164" s="6" t="s">
        <v>39</v>
      </c>
      <c r="G164" s="6" t="s">
        <v>123</v>
      </c>
      <c r="H164" s="6" t="s">
        <v>842</v>
      </c>
      <c r="I164" s="6" t="s">
        <v>843</v>
      </c>
    </row>
    <row r="165" spans="1:9" ht="22.5" customHeight="1" x14ac:dyDescent="0.25">
      <c r="A165" s="4">
        <v>164</v>
      </c>
      <c r="B165" s="5" t="s">
        <v>678</v>
      </c>
      <c r="C165" s="6" t="s">
        <v>844</v>
      </c>
      <c r="D165" s="6" t="s">
        <v>514</v>
      </c>
      <c r="E165" s="6" t="s">
        <v>39</v>
      </c>
      <c r="F165" s="6" t="s">
        <v>845</v>
      </c>
      <c r="G165" s="6" t="s">
        <v>545</v>
      </c>
      <c r="H165" s="6" t="s">
        <v>265</v>
      </c>
      <c r="I165" s="6" t="s">
        <v>832</v>
      </c>
    </row>
    <row r="166" spans="1:9" ht="22.5" customHeight="1" x14ac:dyDescent="0.25">
      <c r="A166" s="4">
        <v>165</v>
      </c>
      <c r="B166" s="5" t="s">
        <v>846</v>
      </c>
      <c r="C166" s="6" t="s">
        <v>847</v>
      </c>
      <c r="D166" s="6" t="s">
        <v>514</v>
      </c>
      <c r="E166" s="6" t="s">
        <v>545</v>
      </c>
      <c r="F166" s="6" t="s">
        <v>848</v>
      </c>
      <c r="G166" s="6" t="s">
        <v>265</v>
      </c>
      <c r="H166" s="6" t="s">
        <v>513</v>
      </c>
      <c r="I166" s="6" t="s">
        <v>849</v>
      </c>
    </row>
    <row r="167" spans="1:9" ht="22.5" customHeight="1" x14ac:dyDescent="0.25">
      <c r="A167" s="4">
        <v>166</v>
      </c>
      <c r="B167" s="5" t="s">
        <v>543</v>
      </c>
      <c r="C167" s="6" t="s">
        <v>580</v>
      </c>
      <c r="D167" s="6" t="s">
        <v>514</v>
      </c>
      <c r="E167" s="6" t="s">
        <v>545</v>
      </c>
      <c r="F167" s="6" t="s">
        <v>180</v>
      </c>
      <c r="G167" s="6" t="s">
        <v>265</v>
      </c>
      <c r="H167" s="6" t="s">
        <v>448</v>
      </c>
      <c r="I167" s="6" t="s">
        <v>618</v>
      </c>
    </row>
    <row r="168" spans="1:9" ht="22.5" customHeight="1" x14ac:dyDescent="0.25">
      <c r="A168" s="4">
        <v>167</v>
      </c>
      <c r="B168" s="5" t="s">
        <v>850</v>
      </c>
      <c r="C168" s="6" t="s">
        <v>175</v>
      </c>
      <c r="D168" s="6" t="s">
        <v>514</v>
      </c>
      <c r="E168" s="6" t="s">
        <v>545</v>
      </c>
      <c r="F168" s="6" t="s">
        <v>851</v>
      </c>
      <c r="G168" s="6" t="s">
        <v>852</v>
      </c>
      <c r="H168" s="6" t="s">
        <v>197</v>
      </c>
      <c r="I168" s="6" t="s">
        <v>849</v>
      </c>
    </row>
    <row r="169" spans="1:9" ht="22.5" customHeight="1" x14ac:dyDescent="0.25">
      <c r="A169" s="4">
        <v>168</v>
      </c>
      <c r="B169" s="5" t="s">
        <v>853</v>
      </c>
      <c r="C169" s="6" t="s">
        <v>855</v>
      </c>
      <c r="D169" s="6" t="s">
        <v>514</v>
      </c>
      <c r="E169" s="6" t="s">
        <v>545</v>
      </c>
      <c r="F169" s="6" t="s">
        <v>856</v>
      </c>
      <c r="G169" s="6" t="s">
        <v>248</v>
      </c>
      <c r="H169" s="6" t="s">
        <v>857</v>
      </c>
      <c r="I169" s="6" t="s">
        <v>849</v>
      </c>
    </row>
    <row r="170" spans="1:9" ht="22.5" customHeight="1" x14ac:dyDescent="0.25">
      <c r="A170" s="4">
        <v>169</v>
      </c>
      <c r="B170" s="5" t="s">
        <v>857</v>
      </c>
      <c r="C170" s="6" t="s">
        <v>248</v>
      </c>
      <c r="D170" s="6" t="s">
        <v>514</v>
      </c>
      <c r="E170" s="6" t="s">
        <v>545</v>
      </c>
      <c r="F170" s="6" t="s">
        <v>858</v>
      </c>
      <c r="G170" s="6" t="s">
        <v>68</v>
      </c>
      <c r="H170" s="6" t="s">
        <v>504</v>
      </c>
      <c r="I170" s="6" t="s">
        <v>853</v>
      </c>
    </row>
    <row r="171" spans="1:9" ht="22.5" customHeight="1" x14ac:dyDescent="0.25">
      <c r="A171" s="4">
        <v>170</v>
      </c>
      <c r="B171" s="5" t="s">
        <v>859</v>
      </c>
      <c r="C171" s="6" t="s">
        <v>834</v>
      </c>
      <c r="D171" s="6" t="s">
        <v>514</v>
      </c>
      <c r="E171" s="6" t="s">
        <v>545</v>
      </c>
      <c r="F171" s="6" t="s">
        <v>248</v>
      </c>
      <c r="G171" s="6" t="s">
        <v>361</v>
      </c>
      <c r="H171" s="6" t="s">
        <v>768</v>
      </c>
      <c r="I171" s="6" t="s">
        <v>849</v>
      </c>
    </row>
    <row r="172" spans="1:9" ht="22.5" customHeight="1" x14ac:dyDescent="0.25">
      <c r="A172" s="4">
        <v>171</v>
      </c>
      <c r="B172" s="5" t="s">
        <v>860</v>
      </c>
      <c r="C172" s="6" t="s">
        <v>445</v>
      </c>
      <c r="D172" s="6" t="s">
        <v>514</v>
      </c>
      <c r="E172" s="6" t="s">
        <v>545</v>
      </c>
      <c r="F172" s="6" t="s">
        <v>861</v>
      </c>
      <c r="G172" s="6" t="s">
        <v>863</v>
      </c>
      <c r="H172" s="6" t="s">
        <v>864</v>
      </c>
      <c r="I172" s="6" t="s">
        <v>865</v>
      </c>
    </row>
    <row r="173" spans="1:9" ht="22.5" customHeight="1" x14ac:dyDescent="0.25">
      <c r="A173" s="4">
        <v>172</v>
      </c>
      <c r="B173" s="5" t="s">
        <v>866</v>
      </c>
      <c r="C173" s="6" t="s">
        <v>867</v>
      </c>
      <c r="D173" s="6" t="s">
        <v>868</v>
      </c>
      <c r="E173" s="6" t="s">
        <v>869</v>
      </c>
      <c r="F173" s="6" t="s">
        <v>514</v>
      </c>
      <c r="G173" s="6" t="s">
        <v>126</v>
      </c>
      <c r="H173" s="6" t="s">
        <v>870</v>
      </c>
      <c r="I173" s="6" t="s">
        <v>545</v>
      </c>
    </row>
    <row r="174" spans="1:9" ht="22.5" customHeight="1" x14ac:dyDescent="0.25">
      <c r="A174" s="4">
        <v>173</v>
      </c>
      <c r="B174" s="5" t="s">
        <v>871</v>
      </c>
      <c r="C174" s="6" t="s">
        <v>427</v>
      </c>
      <c r="D174" s="6" t="s">
        <v>545</v>
      </c>
      <c r="E174" s="6" t="s">
        <v>872</v>
      </c>
      <c r="F174" s="6" t="s">
        <v>436</v>
      </c>
      <c r="G174" s="6" t="s">
        <v>118</v>
      </c>
      <c r="H174" s="6" t="s">
        <v>140</v>
      </c>
      <c r="I174" s="6" t="s">
        <v>106</v>
      </c>
    </row>
    <row r="175" spans="1:9" ht="22.5" customHeight="1" x14ac:dyDescent="0.25">
      <c r="A175" s="4">
        <v>174</v>
      </c>
      <c r="B175" s="5" t="s">
        <v>873</v>
      </c>
      <c r="C175" s="6" t="s">
        <v>875</v>
      </c>
      <c r="D175" s="6" t="s">
        <v>424</v>
      </c>
      <c r="E175" s="6" t="s">
        <v>386</v>
      </c>
      <c r="F175" s="6" t="s">
        <v>755</v>
      </c>
      <c r="G175" s="6" t="s">
        <v>876</v>
      </c>
      <c r="H175" s="6" t="s">
        <v>768</v>
      </c>
      <c r="I175" s="6" t="s">
        <v>126</v>
      </c>
    </row>
    <row r="176" spans="1:9" ht="22.5" customHeight="1" x14ac:dyDescent="0.25">
      <c r="A176" s="4">
        <v>175</v>
      </c>
      <c r="B176" s="5" t="s">
        <v>598</v>
      </c>
      <c r="C176" s="6" t="s">
        <v>424</v>
      </c>
      <c r="D176" s="6" t="s">
        <v>386</v>
      </c>
      <c r="E176" s="6" t="s">
        <v>741</v>
      </c>
      <c r="F176" s="6" t="s">
        <v>341</v>
      </c>
      <c r="G176" s="6" t="s">
        <v>743</v>
      </c>
      <c r="H176" s="6" t="s">
        <v>553</v>
      </c>
      <c r="I176" s="6" t="s">
        <v>106</v>
      </c>
    </row>
    <row r="177" spans="1:9" ht="22.5" customHeight="1" x14ac:dyDescent="0.25">
      <c r="A177" s="4">
        <v>176</v>
      </c>
      <c r="B177" s="5" t="s">
        <v>736</v>
      </c>
      <c r="C177" s="6" t="s">
        <v>424</v>
      </c>
      <c r="D177" s="6" t="s">
        <v>878</v>
      </c>
      <c r="E177" s="6" t="s">
        <v>341</v>
      </c>
      <c r="F177" s="6" t="s">
        <v>246</v>
      </c>
      <c r="G177" s="6" t="s">
        <v>362</v>
      </c>
      <c r="H177" s="6" t="s">
        <v>879</v>
      </c>
      <c r="I177" s="6" t="s">
        <v>577</v>
      </c>
    </row>
    <row r="178" spans="1:9" ht="22.5" customHeight="1" x14ac:dyDescent="0.25">
      <c r="A178" s="4">
        <v>177</v>
      </c>
      <c r="B178" s="5" t="s">
        <v>498</v>
      </c>
      <c r="C178" s="6" t="s">
        <v>880</v>
      </c>
      <c r="D178" s="6" t="s">
        <v>424</v>
      </c>
      <c r="E178" s="6" t="s">
        <v>386</v>
      </c>
      <c r="F178" s="6" t="s">
        <v>881</v>
      </c>
      <c r="G178" s="6" t="s">
        <v>509</v>
      </c>
      <c r="H178" s="6" t="s">
        <v>40</v>
      </c>
      <c r="I178" s="6" t="s">
        <v>400</v>
      </c>
    </row>
    <row r="179" spans="1:9" ht="22.5" customHeight="1" x14ac:dyDescent="0.25">
      <c r="A179" s="4">
        <v>178</v>
      </c>
      <c r="B179" s="5" t="s">
        <v>509</v>
      </c>
      <c r="C179" s="6" t="s">
        <v>882</v>
      </c>
      <c r="D179" s="6" t="s">
        <v>424</v>
      </c>
      <c r="E179" s="6" t="s">
        <v>386</v>
      </c>
      <c r="F179" s="6" t="s">
        <v>883</v>
      </c>
      <c r="G179" s="6" t="s">
        <v>498</v>
      </c>
      <c r="H179" s="6" t="s">
        <v>40</v>
      </c>
      <c r="I179" s="6" t="s">
        <v>400</v>
      </c>
    </row>
    <row r="180" spans="1:9" ht="22.5" customHeight="1" x14ac:dyDescent="0.25">
      <c r="A180" s="4">
        <v>179</v>
      </c>
      <c r="B180" s="5" t="s">
        <v>884</v>
      </c>
      <c r="C180" s="6" t="s">
        <v>424</v>
      </c>
      <c r="D180" s="6" t="s">
        <v>386</v>
      </c>
      <c r="E180" s="6" t="s">
        <v>197</v>
      </c>
      <c r="F180" s="6" t="s">
        <v>882</v>
      </c>
      <c r="G180" s="6" t="s">
        <v>190</v>
      </c>
      <c r="H180" s="6" t="s">
        <v>509</v>
      </c>
      <c r="I180" s="6" t="s">
        <v>39</v>
      </c>
    </row>
    <row r="181" spans="1:9" ht="22.5" customHeight="1" x14ac:dyDescent="0.25">
      <c r="A181" s="4">
        <v>180</v>
      </c>
      <c r="B181" s="5" t="s">
        <v>765</v>
      </c>
      <c r="C181" s="6" t="s">
        <v>70</v>
      </c>
      <c r="D181" s="6" t="s">
        <v>646</v>
      </c>
      <c r="E181" s="6" t="s">
        <v>132</v>
      </c>
      <c r="F181" s="6" t="s">
        <v>378</v>
      </c>
      <c r="G181" s="6" t="s">
        <v>362</v>
      </c>
      <c r="H181" s="6" t="s">
        <v>372</v>
      </c>
      <c r="I181" s="6" t="s">
        <v>886</v>
      </c>
    </row>
    <row r="182" spans="1:9" ht="22.5" customHeight="1" x14ac:dyDescent="0.25">
      <c r="A182" s="4">
        <v>181</v>
      </c>
      <c r="B182" s="5" t="s">
        <v>824</v>
      </c>
      <c r="C182" s="6" t="s">
        <v>463</v>
      </c>
      <c r="D182" s="6" t="s">
        <v>70</v>
      </c>
      <c r="E182" s="6" t="s">
        <v>585</v>
      </c>
      <c r="F182" s="6" t="s">
        <v>362</v>
      </c>
      <c r="G182" s="6" t="s">
        <v>732</v>
      </c>
      <c r="H182" s="6" t="s">
        <v>406</v>
      </c>
      <c r="I182" s="6" t="s">
        <v>887</v>
      </c>
    </row>
    <row r="183" spans="1:9" ht="22.5" customHeight="1" x14ac:dyDescent="0.25">
      <c r="A183" s="4">
        <v>182</v>
      </c>
      <c r="B183" s="5" t="s">
        <v>802</v>
      </c>
      <c r="C183" s="6" t="s">
        <v>754</v>
      </c>
      <c r="D183" s="6" t="s">
        <v>70</v>
      </c>
      <c r="E183" s="6" t="s">
        <v>362</v>
      </c>
      <c r="F183" s="6" t="s">
        <v>140</v>
      </c>
      <c r="G183" s="6" t="s">
        <v>351</v>
      </c>
      <c r="H183" s="6" t="s">
        <v>179</v>
      </c>
      <c r="I183" s="6" t="s">
        <v>887</v>
      </c>
    </row>
    <row r="184" spans="1:9" ht="22.5" customHeight="1" x14ac:dyDescent="0.25">
      <c r="A184" s="4">
        <v>183</v>
      </c>
      <c r="B184" s="5" t="s">
        <v>808</v>
      </c>
      <c r="C184" s="6" t="s">
        <v>505</v>
      </c>
      <c r="D184" s="6" t="s">
        <v>70</v>
      </c>
      <c r="E184" s="6" t="s">
        <v>362</v>
      </c>
      <c r="F184" s="6" t="s">
        <v>140</v>
      </c>
      <c r="G184" s="6" t="s">
        <v>351</v>
      </c>
      <c r="H184" s="6" t="s">
        <v>179</v>
      </c>
      <c r="I184" s="6" t="s">
        <v>887</v>
      </c>
    </row>
    <row r="185" spans="1:9" ht="22.5" customHeight="1" x14ac:dyDescent="0.25">
      <c r="A185" s="4">
        <v>184</v>
      </c>
      <c r="B185" s="5" t="s">
        <v>818</v>
      </c>
      <c r="C185" s="6" t="s">
        <v>888</v>
      </c>
      <c r="D185" s="6" t="s">
        <v>70</v>
      </c>
      <c r="E185" s="6" t="s">
        <v>362</v>
      </c>
      <c r="F185" s="6" t="s">
        <v>140</v>
      </c>
      <c r="G185" s="6" t="s">
        <v>351</v>
      </c>
      <c r="H185" s="6" t="s">
        <v>179</v>
      </c>
      <c r="I185" s="6" t="s">
        <v>887</v>
      </c>
    </row>
    <row r="186" spans="1:9" ht="22.5" customHeight="1" x14ac:dyDescent="0.25">
      <c r="A186" s="4">
        <v>185</v>
      </c>
      <c r="B186" s="5" t="s">
        <v>185</v>
      </c>
      <c r="C186" s="6" t="s">
        <v>192</v>
      </c>
      <c r="D186" s="6" t="s">
        <v>889</v>
      </c>
      <c r="E186" s="6" t="s">
        <v>890</v>
      </c>
      <c r="F186" s="6" t="s">
        <v>891</v>
      </c>
      <c r="G186" s="6" t="s">
        <v>142</v>
      </c>
      <c r="H186" s="6" t="s">
        <v>143</v>
      </c>
      <c r="I186" s="6" t="s">
        <v>893</v>
      </c>
    </row>
    <row r="187" spans="1:9" ht="22.5" customHeight="1" x14ac:dyDescent="0.25">
      <c r="A187" s="4">
        <v>186</v>
      </c>
      <c r="B187" s="5" t="s">
        <v>699</v>
      </c>
      <c r="C187" s="6" t="s">
        <v>239</v>
      </c>
      <c r="D187" s="6" t="s">
        <v>192</v>
      </c>
      <c r="E187" s="6" t="s">
        <v>894</v>
      </c>
      <c r="F187" s="6" t="s">
        <v>248</v>
      </c>
      <c r="G187" s="6" t="s">
        <v>67</v>
      </c>
      <c r="H187" s="6" t="s">
        <v>400</v>
      </c>
      <c r="I187" s="6" t="s">
        <v>529</v>
      </c>
    </row>
    <row r="188" spans="1:9" ht="22.5" customHeight="1" x14ac:dyDescent="0.25">
      <c r="A188" s="4">
        <v>187</v>
      </c>
      <c r="B188" s="5" t="s">
        <v>895</v>
      </c>
      <c r="C188" s="6" t="s">
        <v>190</v>
      </c>
      <c r="D188" s="6" t="s">
        <v>192</v>
      </c>
      <c r="E188" s="6" t="s">
        <v>893</v>
      </c>
      <c r="F188" s="6" t="s">
        <v>896</v>
      </c>
      <c r="G188" s="6" t="s">
        <v>400</v>
      </c>
      <c r="H188" s="6" t="s">
        <v>39</v>
      </c>
      <c r="I188" s="6" t="s">
        <v>284</v>
      </c>
    </row>
    <row r="189" spans="1:9" ht="22.5" customHeight="1" x14ac:dyDescent="0.25">
      <c r="A189" s="4">
        <v>188</v>
      </c>
      <c r="B189" s="5" t="s">
        <v>897</v>
      </c>
      <c r="C189" s="6" t="s">
        <v>190</v>
      </c>
      <c r="D189" s="6" t="s">
        <v>192</v>
      </c>
      <c r="E189" s="6" t="s">
        <v>893</v>
      </c>
      <c r="F189" s="6" t="s">
        <v>400</v>
      </c>
      <c r="G189" s="6" t="s">
        <v>39</v>
      </c>
      <c r="H189" s="6" t="s">
        <v>197</v>
      </c>
      <c r="I189" s="6" t="s">
        <v>898</v>
      </c>
    </row>
    <row r="190" spans="1:9" ht="22.5" customHeight="1" x14ac:dyDescent="0.25">
      <c r="A190" s="4">
        <v>189</v>
      </c>
      <c r="B190" s="5" t="s">
        <v>899</v>
      </c>
      <c r="C190" s="6" t="s">
        <v>900</v>
      </c>
      <c r="D190" s="6" t="s">
        <v>192</v>
      </c>
      <c r="E190" s="6" t="s">
        <v>893</v>
      </c>
      <c r="F190" s="6" t="s">
        <v>901</v>
      </c>
      <c r="G190" s="6" t="s">
        <v>400</v>
      </c>
      <c r="H190" s="6" t="s">
        <v>903</v>
      </c>
      <c r="I190" s="6" t="s">
        <v>504</v>
      </c>
    </row>
    <row r="191" spans="1:9" ht="22.5" customHeight="1" x14ac:dyDescent="0.25">
      <c r="A191" s="4">
        <v>190</v>
      </c>
      <c r="B191" s="5" t="s">
        <v>904</v>
      </c>
      <c r="C191" s="6" t="s">
        <v>190</v>
      </c>
      <c r="D191" s="6" t="s">
        <v>192</v>
      </c>
      <c r="E191" s="6" t="s">
        <v>893</v>
      </c>
      <c r="F191" s="6" t="s">
        <v>905</v>
      </c>
      <c r="G191" s="6" t="s">
        <v>400</v>
      </c>
      <c r="H191" s="6" t="s">
        <v>39</v>
      </c>
      <c r="I191" s="6" t="s">
        <v>906</v>
      </c>
    </row>
    <row r="192" spans="1:9" ht="22.5" customHeight="1" x14ac:dyDescent="0.25">
      <c r="A192" s="4">
        <v>191</v>
      </c>
      <c r="B192" s="5" t="s">
        <v>633</v>
      </c>
      <c r="C192" s="6" t="s">
        <v>190</v>
      </c>
      <c r="D192" s="6" t="s">
        <v>192</v>
      </c>
      <c r="E192" s="6" t="s">
        <v>893</v>
      </c>
      <c r="F192" s="6" t="s">
        <v>400</v>
      </c>
      <c r="G192" s="6" t="s">
        <v>39</v>
      </c>
      <c r="H192" s="6" t="s">
        <v>907</v>
      </c>
      <c r="I192" s="6" t="s">
        <v>898</v>
      </c>
    </row>
    <row r="193" spans="1:9" ht="22.5" customHeight="1" x14ac:dyDescent="0.25">
      <c r="A193" s="4">
        <v>192</v>
      </c>
      <c r="B193" s="5" t="s">
        <v>908</v>
      </c>
      <c r="C193" s="6" t="s">
        <v>894</v>
      </c>
      <c r="D193" s="6" t="s">
        <v>192</v>
      </c>
      <c r="E193" s="6" t="s">
        <v>317</v>
      </c>
      <c r="F193" s="6" t="s">
        <v>67</v>
      </c>
      <c r="G193" s="6" t="s">
        <v>258</v>
      </c>
      <c r="H193" s="6" t="s">
        <v>400</v>
      </c>
      <c r="I193" s="6" t="s">
        <v>909</v>
      </c>
    </row>
    <row r="194" spans="1:9" ht="22.5" customHeight="1" x14ac:dyDescent="0.25">
      <c r="A194" s="4">
        <v>193</v>
      </c>
      <c r="B194" s="5" t="s">
        <v>910</v>
      </c>
      <c r="C194" s="6" t="s">
        <v>192</v>
      </c>
      <c r="D194" s="6" t="s">
        <v>248</v>
      </c>
      <c r="E194" s="6" t="s">
        <v>126</v>
      </c>
      <c r="F194" s="6" t="s">
        <v>768</v>
      </c>
      <c r="G194" s="6" t="s">
        <v>911</v>
      </c>
      <c r="H194" s="6" t="s">
        <v>67</v>
      </c>
      <c r="I194" s="6" t="s">
        <v>912</v>
      </c>
    </row>
    <row r="195" spans="1:9" ht="22.5" customHeight="1" x14ac:dyDescent="0.25">
      <c r="A195" s="4">
        <v>194</v>
      </c>
      <c r="B195" s="5" t="s">
        <v>892</v>
      </c>
      <c r="C195" s="6" t="s">
        <v>913</v>
      </c>
      <c r="D195" s="6" t="s">
        <v>192</v>
      </c>
      <c r="E195" s="6" t="s">
        <v>87</v>
      </c>
      <c r="F195" s="6" t="s">
        <v>605</v>
      </c>
      <c r="G195" s="6" t="s">
        <v>400</v>
      </c>
      <c r="H195" s="6" t="s">
        <v>914</v>
      </c>
      <c r="I195" s="6" t="s">
        <v>284</v>
      </c>
    </row>
    <row r="196" spans="1:9" ht="22.5" customHeight="1" x14ac:dyDescent="0.25">
      <c r="A196" s="4">
        <v>195</v>
      </c>
      <c r="B196" s="5" t="s">
        <v>915</v>
      </c>
      <c r="C196" s="6" t="s">
        <v>916</v>
      </c>
      <c r="D196" s="6" t="s">
        <v>192</v>
      </c>
      <c r="E196" s="6" t="s">
        <v>197</v>
      </c>
      <c r="F196" s="6" t="s">
        <v>900</v>
      </c>
      <c r="G196" s="6" t="s">
        <v>248</v>
      </c>
      <c r="H196" s="6" t="s">
        <v>851</v>
      </c>
      <c r="I196" s="6" t="s">
        <v>892</v>
      </c>
    </row>
    <row r="197" spans="1:9" ht="22.5" customHeight="1" x14ac:dyDescent="0.25">
      <c r="A197" s="4">
        <v>196</v>
      </c>
      <c r="B197" s="5" t="s">
        <v>176</v>
      </c>
      <c r="C197" s="6" t="s">
        <v>180</v>
      </c>
      <c r="D197" s="6" t="s">
        <v>917</v>
      </c>
      <c r="E197" s="6" t="s">
        <v>178</v>
      </c>
      <c r="F197" s="6" t="s">
        <v>919</v>
      </c>
      <c r="G197" s="6" t="s">
        <v>920</v>
      </c>
      <c r="H197" s="6" t="s">
        <v>239</v>
      </c>
      <c r="I197" s="6" t="s">
        <v>921</v>
      </c>
    </row>
    <row r="198" spans="1:9" ht="22.5" customHeight="1" x14ac:dyDescent="0.25">
      <c r="A198" s="4">
        <v>197</v>
      </c>
      <c r="B198" s="5" t="s">
        <v>922</v>
      </c>
      <c r="C198" s="6" t="s">
        <v>192</v>
      </c>
      <c r="D198" s="6" t="s">
        <v>732</v>
      </c>
      <c r="E198" s="6" t="s">
        <v>400</v>
      </c>
      <c r="F198" s="6" t="s">
        <v>768</v>
      </c>
      <c r="G198" s="6" t="s">
        <v>923</v>
      </c>
      <c r="H198" s="6" t="s">
        <v>284</v>
      </c>
      <c r="I198" s="6" t="s">
        <v>898</v>
      </c>
    </row>
    <row r="199" spans="1:9" ht="22.5" customHeight="1" x14ac:dyDescent="0.25">
      <c r="A199" s="4">
        <v>198</v>
      </c>
      <c r="B199" s="5" t="s">
        <v>552</v>
      </c>
      <c r="C199" s="6" t="s">
        <v>378</v>
      </c>
      <c r="D199" s="6" t="s">
        <v>925</v>
      </c>
      <c r="E199" s="6" t="s">
        <v>668</v>
      </c>
      <c r="F199" s="6" t="s">
        <v>667</v>
      </c>
      <c r="G199" s="6" t="s">
        <v>549</v>
      </c>
      <c r="H199" s="6" t="s">
        <v>342</v>
      </c>
      <c r="I199" s="6" t="s">
        <v>454</v>
      </c>
    </row>
    <row r="200" spans="1:9" ht="22.5" customHeight="1" x14ac:dyDescent="0.25">
      <c r="A200" s="4">
        <v>199</v>
      </c>
      <c r="B200" s="5" t="s">
        <v>237</v>
      </c>
      <c r="C200" s="6" t="s">
        <v>180</v>
      </c>
      <c r="D200" s="6" t="s">
        <v>178</v>
      </c>
      <c r="E200" s="6" t="s">
        <v>244</v>
      </c>
      <c r="F200" s="6" t="s">
        <v>926</v>
      </c>
      <c r="G200" s="6" t="s">
        <v>556</v>
      </c>
      <c r="H200" s="6" t="s">
        <v>39</v>
      </c>
      <c r="I200" s="6" t="s">
        <v>928</v>
      </c>
    </row>
    <row r="201" spans="1:9" ht="22.5" customHeight="1" x14ac:dyDescent="0.25">
      <c r="A201" s="4">
        <v>200</v>
      </c>
      <c r="B201" s="5" t="s">
        <v>244</v>
      </c>
      <c r="C201" s="6" t="s">
        <v>180</v>
      </c>
      <c r="D201" s="6" t="s">
        <v>178</v>
      </c>
      <c r="E201" s="6" t="s">
        <v>237</v>
      </c>
      <c r="F201" s="6" t="s">
        <v>926</v>
      </c>
      <c r="G201" s="6" t="s">
        <v>556</v>
      </c>
      <c r="H201" s="6" t="s">
        <v>550</v>
      </c>
      <c r="I201" s="6" t="s">
        <v>928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Karakterler</vt:lpstr>
      <vt:lpstr>Tabu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Utku Özcan</dc:creator>
  <cp:lastModifiedBy>HALIM UTKU OZCAN</cp:lastModifiedBy>
  <dcterms:created xsi:type="dcterms:W3CDTF">2026-10-14T11:41:45Z</dcterms:created>
  <dcterms:modified xsi:type="dcterms:W3CDTF">2026-10-14T11:41:45Z</dcterms:modified>
</cp:coreProperties>
</file>